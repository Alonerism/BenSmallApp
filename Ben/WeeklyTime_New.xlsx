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.31.25 -08.06.25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Gilad Avidor:
08/01: (Fair Ave): Overtime Hours_ 336yrds concrete pour - Started at 6:30 - 6:30pm (Misc) </t>
      </text>
    </comment>
    <comment authorId="0" ref="I10">
      <text>
        <t xml:space="preserve">Gilad Avidor:
08/04: (16th) Called out sick_ 3hrs of remaining hours have been added </t>
      </text>
    </comment>
    <comment authorId="0" ref="C13">
      <text>
        <t xml:space="preserve">Gilad Avidor:
07/31: (Encino) Was not clocked in, and if he sent a message, then it deleted from the Whatsapp, cause employee has msg delete </t>
      </text>
    </comment>
    <comment authorId="0" ref="E20">
      <text>
        <t xml:space="preserve">Gilad Avidor:
08/01: (Encino) had an emergency, and said that he told his foreman</t>
      </text>
    </comment>
    <comment authorId="0" ref="F22">
      <text>
        <t xml:space="preserve">Gilad Avidor:
08/01: (Fair Ave): Overtime Hours_ 336yrds concrete pour - Started at 6:30 - 6:30pm (Misc) </t>
      </text>
    </comment>
    <comment authorId="0" ref="D25">
      <text>
        <t xml:space="preserve">Gilad Avidor:
07/31: (16th St) 2hrs Overtime for Concrete Prep on Monday </t>
      </text>
    </comment>
    <comment authorId="0" ref="D26">
      <text>
        <t xml:space="preserve">Gilad Avidor:
07/31: (16th St) 2hrs Overtime for Concrete Prep on Monday </t>
      </text>
    </comment>
    <comment authorId="0" ref="E27">
      <text>
        <t xml:space="preserve">Gilad Avidor:
08/01: (Fair) Left early 1 hour </t>
      </text>
    </comment>
    <comment authorId="0" ref="F32">
      <text>
        <t xml:space="preserve">Gilad Avidor:
08/01: (Bonhill) Picked up Materials </t>
      </text>
    </comment>
    <comment authorId="0" ref="F34">
      <text>
        <t xml:space="preserve">Gilad Avidor:
08/01: (Fair Ave): Overtime Hours_ 336yrds concrete pour - Started at 6:30 - 6:30pm (Misc) </t>
      </text>
    </comment>
    <comment authorId="0" ref="F43">
      <text>
        <t xml:space="preserve">Gilad Avidor:
08/01: (Fair Ave): Overtime Hours_ 336yrds concrete pour - Started at 6:30 - 6:30pm (Misc) </t>
      </text>
    </comment>
    <comment authorId="0" ref="E46">
      <text>
        <t xml:space="preserve">Gilad Avidor:
08/01: (Fair) Left early 1 hour </t>
      </text>
    </comment>
    <comment authorId="0" ref="D49">
      <text>
        <t xml:space="preserve">Gilad Avidor:
07/31: (16th St) 2hrs Overtime for Concrete Prep on Monday </t>
      </text>
    </comment>
    <comment authorId="0" ref="F52">
      <text>
        <t xml:space="preserve">Gilad Avidor:
08/01: (Fair Ave): Overtime Hours_ 336yrds concrete pour - Started at 6:30 - 6:30pm (Misc) 
</t>
      </text>
    </comment>
    <comment authorId="0" ref="D57">
      <text>
        <t xml:space="preserve">Gilad Avidor:
07/31: (16th St) 2hrs Overtime for Concrete Prep on Monday </t>
      </text>
    </comment>
    <comment authorId="0" ref="F62">
      <text>
        <t xml:space="preserve">Gilad Avidor:
08/01: (Fair Ave): Overtime Hours_ 336yrds concrete pour - Started at 6:30 - 6:30pm (Misc) </t>
      </text>
    </comment>
    <comment authorId="0" ref="J62">
      <text>
        <t xml:space="preserve">Gilad Avidor:
08/04: (Fair) Was sent on Multiple location to pick up and drop off materials </t>
      </text>
    </comment>
    <comment authorId="0" ref="F64">
      <text>
        <t xml:space="preserve">Gilad Avidor:
08/01: (Fair Ave): Overtime Hours_ 336yrds concrete pour - Started at 6:30 - 6:30pm (Misc) </t>
      </text>
    </comment>
    <comment authorId="0" ref="F70">
      <text>
        <t xml:space="preserve">Gilad Avidor:
08/01: (Bonhill) Picked up Materials </t>
      </text>
    </comment>
    <comment authorId="0" ref="D74">
      <text>
        <t xml:space="preserve">Gilad Avidor:
07/31: (16th St) 2hrs Overtime for Concrete Prep on Monday </t>
      </text>
    </comment>
    <comment authorId="0" ref="D82">
      <text>
        <t xml:space="preserve">Gilad Avidor:
07/31: (16th St) 2hrs Overtime for Concrete Prep on Monday </t>
      </text>
    </comment>
    <comment authorId="0" ref="D83">
      <text>
        <t xml:space="preserve">Gilad Avidor:
07/31: (Spa) 1HR overtime </t>
      </text>
    </comment>
    <comment authorId="0" ref="F92">
      <text>
        <t xml:space="preserve">Gilad Avidor:
08/01: (Fair Ave): Overtime Hours_ 336yrds concrete pour - Started at 6:30 - 6:30pm (Misc) </t>
      </text>
    </comment>
    <comment authorId="0" ref="D93">
      <text>
        <t xml:space="preserve">Gilad Avidor:
07/31: (16th St) 2hrs Overtime for Concrete Prep on Monday </t>
      </text>
    </comment>
    <comment authorId="0" ref="F104">
      <text>
        <t xml:space="preserve">Gilad Avidor:
08/01: (Fair Ave): Overtime Hours_ 336yrds concrete pour - Started at 6:30 - 6:30pm (Misc) </t>
      </text>
    </comment>
  </commentList>
</comments>
</file>

<file path=xl/sharedStrings.xml><?xml version="1.0" encoding="utf-8"?>
<sst xmlns="http://schemas.openxmlformats.org/spreadsheetml/2006/main" count="235" uniqueCount="123">
  <si>
    <t>Week Of : 07.31.25 - 08.06.25</t>
  </si>
  <si>
    <t>THURSDAY 07/31</t>
  </si>
  <si>
    <t>FRIDAY 08/01</t>
  </si>
  <si>
    <t>SATURDAY 08/02</t>
  </si>
  <si>
    <t>MONDAY 08/04</t>
  </si>
  <si>
    <t>TUESDAY 08/05</t>
  </si>
  <si>
    <t>WEDNESDAY 08/06</t>
  </si>
  <si>
    <t>TOTAL</t>
  </si>
  <si>
    <t xml:space="preserve">Employee Name: </t>
  </si>
  <si>
    <t>Category</t>
  </si>
  <si>
    <t xml:space="preserve">Reg. Hours </t>
  </si>
  <si>
    <t xml:space="preserve">OT. Hours </t>
  </si>
  <si>
    <t xml:space="preserve"> Reg. Hours</t>
  </si>
  <si>
    <t>Sick</t>
  </si>
  <si>
    <t>Adelio Amarilla</t>
  </si>
  <si>
    <t>B</t>
  </si>
  <si>
    <t>Aderson Hernandez</t>
  </si>
  <si>
    <t>a</t>
  </si>
  <si>
    <t>Alan Ascencion</t>
  </si>
  <si>
    <t>Alejandro Silva</t>
  </si>
  <si>
    <t>Alexander Echeverria</t>
  </si>
  <si>
    <t>Andre Martinez</t>
  </si>
  <si>
    <t>Antonio (Pablo) Lagos Perez</t>
  </si>
  <si>
    <t>Brandon Ayala</t>
  </si>
  <si>
    <t>b</t>
  </si>
  <si>
    <t>Braulio Gomez Ortiz</t>
  </si>
  <si>
    <t>Carlos Ascencion</t>
  </si>
  <si>
    <t>c</t>
  </si>
  <si>
    <t>Carlos Sanic</t>
  </si>
  <si>
    <t>Cesar Castejon</t>
  </si>
  <si>
    <t>Christian Gramajo</t>
  </si>
  <si>
    <t xml:space="preserve">Cristino Robles Casillas </t>
  </si>
  <si>
    <t>Daniel Garcia Martinez</t>
  </si>
  <si>
    <t>Daniel Rojas</t>
  </si>
  <si>
    <t>Eduardo Montero (Lalo)*</t>
  </si>
  <si>
    <t>Edwin Mantilla</t>
  </si>
  <si>
    <t>Emilio Acencion*</t>
  </si>
  <si>
    <t>Ever Canizalez</t>
  </si>
  <si>
    <t>Fernando Martinez</t>
  </si>
  <si>
    <t>Filemon Torrez</t>
  </si>
  <si>
    <t>Florencio Garcia Ortiz</t>
  </si>
  <si>
    <t>Gael Hernandez</t>
  </si>
  <si>
    <t>Gerson Duarte</t>
  </si>
  <si>
    <t>Gerardo Reyes</t>
  </si>
  <si>
    <t>Hector Zuniga</t>
  </si>
  <si>
    <t>Holman (Franklin) Aguilera</t>
  </si>
  <si>
    <t>Hugo A. Robles</t>
  </si>
  <si>
    <t>Inocente Tapia</t>
  </si>
  <si>
    <t>Isaias Garcia</t>
  </si>
  <si>
    <t>Ismael Carmona*</t>
  </si>
  <si>
    <t xml:space="preserve">Ismael Sanic </t>
  </si>
  <si>
    <t>Isreal Donis*</t>
  </si>
  <si>
    <t>Israel Sanic</t>
  </si>
  <si>
    <t>Jels Zuniga</t>
  </si>
  <si>
    <t>Jerry Jimenez</t>
  </si>
  <si>
    <t>Jesus Orozco</t>
  </si>
  <si>
    <t>Jesus Velasquez</t>
  </si>
  <si>
    <t>Joaquin Gonzales</t>
  </si>
  <si>
    <t>Joel Martinez</t>
  </si>
  <si>
    <t>Jorge Lopez</t>
  </si>
  <si>
    <t>John Poblick</t>
  </si>
  <si>
    <t xml:space="preserve">Jorge Valencia Garcia </t>
  </si>
  <si>
    <t>Jose Alfredo Asencion</t>
  </si>
  <si>
    <t>Jose Alfredo Lorena</t>
  </si>
  <si>
    <t xml:space="preserve">Jose Colocho </t>
  </si>
  <si>
    <t>Jose Eduardo Donis</t>
  </si>
  <si>
    <t>Jose Guadalupe</t>
  </si>
  <si>
    <t xml:space="preserve">Jose Juan Garcia Ortega </t>
  </si>
  <si>
    <t>Jose Lara</t>
  </si>
  <si>
    <t>Jose Madrigal</t>
  </si>
  <si>
    <t>Jose Manuel Garcia</t>
  </si>
  <si>
    <t>Jose Molina</t>
  </si>
  <si>
    <t>Jose Pablo Donis</t>
  </si>
  <si>
    <t>Jose Peralta</t>
  </si>
  <si>
    <t>Jose Sanchez Rojas</t>
  </si>
  <si>
    <t>Josue Silva</t>
  </si>
  <si>
    <t>Juan Carlos Zuniga Ramos</t>
  </si>
  <si>
    <t>Juan Jose Montes*</t>
  </si>
  <si>
    <t>Juan Mejia</t>
  </si>
  <si>
    <t xml:space="preserve">Juan Sanchez Garcia </t>
  </si>
  <si>
    <t>Juan Tirado Castellanos</t>
  </si>
  <si>
    <t>Julio Pineda</t>
  </si>
  <si>
    <t>Leonardo Nieblas</t>
  </si>
  <si>
    <t>Manuel Lora</t>
  </si>
  <si>
    <t>Manuel Zuniga</t>
  </si>
  <si>
    <t>Mario Asencion</t>
  </si>
  <si>
    <t>Mario Morales</t>
  </si>
  <si>
    <t xml:space="preserve">Marlon Sandoval </t>
  </si>
  <si>
    <t>Mauro Calderon</t>
  </si>
  <si>
    <t>Melvin Funez</t>
  </si>
  <si>
    <t>Michael Navarro</t>
  </si>
  <si>
    <t>Miguel Saucedo</t>
  </si>
  <si>
    <t>Noe Macario</t>
  </si>
  <si>
    <t>Oliverio Angel</t>
  </si>
  <si>
    <t>Omar Martinez*</t>
  </si>
  <si>
    <t>Omri Harmon</t>
  </si>
  <si>
    <t>Oscar Angel</t>
  </si>
  <si>
    <t>Osiel Game</t>
  </si>
  <si>
    <t>Pablo Paredes</t>
  </si>
  <si>
    <t>Pascual Flores</t>
  </si>
  <si>
    <t>Pedro Mendoza</t>
  </si>
  <si>
    <t>Porfirio Sanchez</t>
  </si>
  <si>
    <t xml:space="preserve">  </t>
  </si>
  <si>
    <t>Rae Cohen*</t>
  </si>
  <si>
    <t>Refugio Cruz</t>
  </si>
  <si>
    <t>Reyes Fornes</t>
  </si>
  <si>
    <t>Roberto Gonzalez</t>
  </si>
  <si>
    <t>Rogelio Najera Ortega*</t>
  </si>
  <si>
    <t xml:space="preserve">Ronald Donis </t>
  </si>
  <si>
    <t>Ronald Gramajo</t>
  </si>
  <si>
    <t>Selvin Morales</t>
  </si>
  <si>
    <t>Sergio Boj</t>
  </si>
  <si>
    <t>Sergio Rivas</t>
  </si>
  <si>
    <t>Tony Guerrero</t>
  </si>
  <si>
    <t>Victor Mantilla</t>
  </si>
  <si>
    <t>William Boj</t>
  </si>
  <si>
    <t>Wiston Madrigal Corea</t>
  </si>
  <si>
    <t>Yovani Rojas</t>
  </si>
  <si>
    <t xml:space="preserve">Reminders: </t>
  </si>
  <si>
    <t xml:space="preserve">* RED CODED ABSENT </t>
  </si>
  <si>
    <t xml:space="preserve">PAYROLL EMPLOYEES </t>
  </si>
  <si>
    <t xml:space="preserve">CASH EMPLOYEES </t>
  </si>
  <si>
    <t xml:space="preserve">50/50 EMPLOYEES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</si>
</sst>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&quot;$&quot;#,##0_);[Red]\(&quot;$&quot;#,##0\)"/>
  </numFmts>
  <fonts count="25">
    <font>
      <sz val="10.0"/>
      <color rgb="FF000000"/>
      <name val="Calibri"/>
      <scheme val="minor"/>
    </font>
    <font>
      <b/>
      <sz val="12.0"/>
      <color rgb="FF000000"/>
      <name val="Arial"/>
    </font>
    <font>
      <sz val="12.0"/>
      <color rgb="FF000000"/>
      <name val="Arial"/>
    </font>
    <font>
      <sz val="14.0"/>
      <color rgb="FF000000"/>
      <name val="Arial"/>
    </font>
    <font>
      <sz val="14.0"/>
      <color theme="1"/>
      <name val="Arial"/>
    </font>
    <font>
      <sz val="10.0"/>
      <color rgb="FF000000"/>
      <name val="Calibri"/>
    </font>
    <font>
      <sz val="10.0"/>
      <color theme="1"/>
      <name val="Arial"/>
    </font>
    <font>
      <b/>
      <sz val="14.0"/>
      <color rgb="FF000000"/>
      <name val="Arial"/>
    </font>
    <font/>
    <font>
      <b/>
      <sz val="12.0"/>
      <color theme="1"/>
      <name val="Arial"/>
    </font>
    <font>
      <sz val="12.0"/>
      <color theme="1"/>
      <name val="Arial"/>
    </font>
    <font>
      <b/>
      <sz val="12.0"/>
      <color rgb="FF2E75B5"/>
      <name val="Arial"/>
    </font>
    <font>
      <b/>
      <sz val="12.0"/>
      <color rgb="FF447028"/>
      <name val="Arial"/>
    </font>
    <font>
      <sz val="12.0"/>
      <color rgb="FF7F7F7F"/>
      <name val="Arial"/>
    </font>
    <font>
      <sz val="10.0"/>
      <color rgb="FFFF0000"/>
      <name val="Arial"/>
    </font>
    <font>
      <sz val="10.0"/>
      <color theme="1"/>
      <name val="Calibri"/>
    </font>
    <font>
      <b/>
      <sz val="12.0"/>
      <color rgb="FF548135"/>
      <name val="Arial"/>
    </font>
    <font>
      <b/>
      <sz val="12.0"/>
      <color rgb="FF2560A6"/>
      <name val="Arial"/>
    </font>
    <font>
      <b/>
      <sz val="12.0"/>
      <color theme="4"/>
      <name val="Arial"/>
    </font>
    <font>
      <b/>
      <sz val="12.0"/>
      <color rgb="FF000000"/>
      <name val="Short Stack"/>
    </font>
    <font>
      <b/>
      <sz val="16.0"/>
      <color rgb="FF000000"/>
      <name val="Arial"/>
    </font>
    <font>
      <sz val="16.0"/>
      <color rgb="FF000000"/>
      <name val="Arial"/>
    </font>
    <font>
      <sz val="12.0"/>
      <color rgb="FF9C0006"/>
      <name val="Arial"/>
    </font>
    <font>
      <sz val="10.0"/>
      <color rgb="FF000000"/>
      <name val="Arial"/>
    </font>
    <font>
      <b/>
      <sz val="10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CCFF99"/>
        <bgColor rgb="FFCCFF99"/>
      </patternFill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FFFFCC"/>
        <bgColor rgb="FFFFFFCC"/>
      </patternFill>
    </fill>
    <fill>
      <patternFill patternType="solid">
        <fgColor rgb="FFFFC7CE"/>
        <bgColor rgb="FFFFC7CE"/>
      </patternFill>
    </fill>
    <fill>
      <patternFill patternType="solid">
        <fgColor rgb="FFFAD9D6"/>
        <bgColor rgb="FFFAD9D6"/>
      </patternFill>
    </fill>
  </fills>
  <borders count="2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2" fillId="0" fontId="2" numFmtId="0" xfId="0" applyBorder="1" applyFont="1"/>
    <xf borderId="2" fillId="0" fontId="3" numFmtId="0" xfId="0" applyBorder="1" applyFont="1"/>
    <xf borderId="3" fillId="2" fontId="4" numFmtId="0" xfId="0" applyBorder="1" applyFill="1" applyFont="1"/>
    <xf borderId="3" fillId="2" fontId="3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6" fillId="0" fontId="2" numFmtId="0" xfId="0" applyBorder="1" applyFont="1"/>
    <xf borderId="6" fillId="0" fontId="3" numFmtId="0" xfId="0" applyBorder="1" applyFont="1"/>
    <xf borderId="7" fillId="2" fontId="4" numFmtId="0" xfId="0" applyBorder="1" applyFont="1"/>
    <xf borderId="7" fillId="2" fontId="3" numFmtId="0" xfId="0" applyBorder="1" applyFont="1"/>
    <xf borderId="8" fillId="0" fontId="6" numFmtId="0" xfId="0" applyBorder="1" applyFont="1"/>
    <xf borderId="5" fillId="0" fontId="7" numFmtId="0" xfId="0" applyAlignment="1" applyBorder="1" applyFont="1">
      <alignment horizontal="center"/>
    </xf>
    <xf borderId="6" fillId="0" fontId="8" numFmtId="0" xfId="0" applyBorder="1" applyFont="1"/>
    <xf borderId="8" fillId="0" fontId="8" numFmtId="0" xfId="0" applyBorder="1" applyFont="1"/>
    <xf borderId="9" fillId="0" fontId="1" numFmtId="0" xfId="0" applyAlignment="1" applyBorder="1" applyFont="1">
      <alignment vertical="center"/>
    </xf>
    <xf borderId="10" fillId="0" fontId="7" numFmtId="0" xfId="0" applyAlignment="1" applyBorder="1" applyFont="1">
      <alignment horizontal="left" shrinkToFit="0" wrapText="1"/>
    </xf>
    <xf borderId="11" fillId="0" fontId="8" numFmtId="0" xfId="0" applyBorder="1" applyFont="1"/>
    <xf borderId="10" fillId="0" fontId="7" numFmtId="0" xfId="0" applyAlignment="1" applyBorder="1" applyFont="1">
      <alignment horizontal="left"/>
    </xf>
    <xf borderId="12" fillId="0" fontId="8" numFmtId="0" xfId="0" applyBorder="1" applyFont="1"/>
    <xf borderId="13" fillId="0" fontId="7" numFmtId="0" xfId="0" applyAlignment="1" applyBorder="1" applyFont="1">
      <alignment horizontal="center"/>
    </xf>
    <xf borderId="14" fillId="0" fontId="8" numFmtId="0" xfId="0" applyBorder="1" applyFont="1"/>
    <xf borderId="9" fillId="0" fontId="1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/>
    </xf>
    <xf borderId="9" fillId="0" fontId="2" numFmtId="0" xfId="0" applyAlignment="1" applyBorder="1" applyFont="1">
      <alignment horizontal="left"/>
    </xf>
    <xf borderId="9" fillId="0" fontId="10" numFmtId="0" xfId="0" applyAlignment="1" applyBorder="1" applyFont="1">
      <alignment horizontal="left"/>
    </xf>
    <xf borderId="10" fillId="0" fontId="2" numFmtId="0" xfId="0" applyAlignment="1" applyBorder="1" applyFont="1">
      <alignment horizontal="left"/>
    </xf>
    <xf borderId="15" fillId="0" fontId="2" numFmtId="0" xfId="0" applyAlignment="1" applyBorder="1" applyFont="1">
      <alignment horizontal="left"/>
    </xf>
    <xf borderId="9" fillId="0" fontId="11" numFmtId="0" xfId="0" applyAlignment="1" applyBorder="1" applyFont="1">
      <alignment vertical="center"/>
    </xf>
    <xf borderId="9" fillId="0" fontId="12" numFmtId="0" xfId="0" applyAlignment="1" applyBorder="1" applyFont="1">
      <alignment horizontal="center"/>
    </xf>
    <xf borderId="9" fillId="0" fontId="2" numFmtId="164" xfId="0" applyAlignment="1" applyBorder="1" applyFont="1" applyNumberFormat="1">
      <alignment horizontal="right"/>
    </xf>
    <xf borderId="9" fillId="3" fontId="2" numFmtId="164" xfId="0" applyAlignment="1" applyBorder="1" applyFill="1" applyFont="1" applyNumberFormat="1">
      <alignment horizontal="right"/>
    </xf>
    <xf borderId="9" fillId="0" fontId="10" numFmtId="164" xfId="0" applyAlignment="1" applyBorder="1" applyFont="1" applyNumberFormat="1">
      <alignment horizontal="right"/>
    </xf>
    <xf borderId="9" fillId="0" fontId="13" numFmtId="164" xfId="0" applyAlignment="1" applyBorder="1" applyFont="1" applyNumberFormat="1">
      <alignment horizontal="right"/>
    </xf>
    <xf borderId="9" fillId="0" fontId="2" numFmtId="164" xfId="0" applyBorder="1" applyFont="1" applyNumberFormat="1"/>
    <xf borderId="9" fillId="3" fontId="2" numFmtId="164" xfId="0" applyBorder="1" applyFont="1" applyNumberFormat="1"/>
    <xf borderId="16" fillId="4" fontId="14" numFmtId="0" xfId="0" applyBorder="1" applyFill="1" applyFont="1"/>
    <xf borderId="16" fillId="4" fontId="15" numFmtId="0" xfId="0" applyBorder="1" applyFont="1"/>
    <xf borderId="9" fillId="0" fontId="16" numFmtId="0" xfId="0" applyAlignment="1" applyBorder="1" applyFont="1">
      <alignment vertical="center"/>
    </xf>
    <xf borderId="9" fillId="5" fontId="2" numFmtId="164" xfId="0" applyAlignment="1" applyBorder="1" applyFill="1" applyFont="1" applyNumberFormat="1">
      <alignment horizontal="right"/>
    </xf>
    <xf borderId="9" fillId="0" fontId="17" numFmtId="0" xfId="0" applyAlignment="1" applyBorder="1" applyFont="1">
      <alignment horizontal="center"/>
    </xf>
    <xf borderId="9" fillId="6" fontId="2" numFmtId="164" xfId="0" applyAlignment="1" applyBorder="1" applyFill="1" applyFont="1" applyNumberFormat="1">
      <alignment horizontal="right"/>
    </xf>
    <xf borderId="9" fillId="0" fontId="1" numFmtId="0" xfId="0" applyAlignment="1" applyBorder="1" applyFont="1">
      <alignment horizontal="center"/>
    </xf>
    <xf borderId="9" fillId="0" fontId="9" numFmtId="0" xfId="0" applyAlignment="1" applyBorder="1" applyFont="1">
      <alignment vertical="center"/>
    </xf>
    <xf borderId="17" fillId="0" fontId="2" numFmtId="164" xfId="0" applyBorder="1" applyFont="1" applyNumberFormat="1"/>
    <xf borderId="16" fillId="4" fontId="6" numFmtId="0" xfId="0" applyBorder="1" applyFont="1"/>
    <xf borderId="9" fillId="6" fontId="2" numFmtId="164" xfId="0" applyBorder="1" applyFont="1" applyNumberFormat="1"/>
    <xf borderId="0" fillId="0" fontId="15" numFmtId="0" xfId="0" applyFont="1"/>
    <xf borderId="9" fillId="5" fontId="2" numFmtId="164" xfId="0" applyBorder="1" applyFont="1" applyNumberFormat="1"/>
    <xf borderId="11" fillId="0" fontId="2" numFmtId="164" xfId="0" applyBorder="1" applyFont="1" applyNumberFormat="1"/>
    <xf borderId="18" fillId="6" fontId="2" numFmtId="164" xfId="0" applyBorder="1" applyFont="1" applyNumberFormat="1"/>
    <xf borderId="9" fillId="0" fontId="18" numFmtId="0" xfId="0" applyAlignment="1" applyBorder="1" applyFont="1">
      <alignment vertical="center"/>
    </xf>
    <xf borderId="9" fillId="0" fontId="10" numFmtId="0" xfId="0" applyAlignment="1" applyBorder="1" applyFont="1">
      <alignment vertical="center"/>
    </xf>
    <xf borderId="0" fillId="0" fontId="6" numFmtId="0" xfId="0" applyFont="1"/>
    <xf borderId="9" fillId="0" fontId="16" numFmtId="0" xfId="0" applyBorder="1" applyFont="1"/>
    <xf borderId="9" fillId="0" fontId="11" numFmtId="0" xfId="0" applyBorder="1" applyFont="1"/>
    <xf borderId="9" fillId="7" fontId="19" numFmtId="0" xfId="0" applyAlignment="1" applyBorder="1" applyFill="1" applyFont="1">
      <alignment horizontal="left" vertical="center"/>
    </xf>
    <xf borderId="9" fillId="7" fontId="20" numFmtId="164" xfId="0" applyBorder="1" applyFont="1" applyNumberFormat="1"/>
    <xf borderId="9" fillId="7" fontId="21" numFmtId="164" xfId="0" applyBorder="1" applyFont="1" applyNumberFormat="1"/>
    <xf borderId="9" fillId="2" fontId="6" numFmtId="164" xfId="0" applyBorder="1" applyFont="1" applyNumberFormat="1"/>
    <xf borderId="9" fillId="2" fontId="22" numFmtId="164" xfId="0" applyBorder="1" applyFont="1" applyNumberFormat="1"/>
    <xf borderId="9" fillId="7" fontId="22" numFmtId="164" xfId="0" applyBorder="1" applyFont="1" applyNumberFormat="1"/>
    <xf borderId="9" fillId="0" fontId="3" numFmtId="164" xfId="0" applyBorder="1" applyFont="1" applyNumberFormat="1"/>
    <xf borderId="10" fillId="0" fontId="6" numFmtId="164" xfId="0" applyBorder="1" applyFont="1" applyNumberFormat="1"/>
    <xf borderId="15" fillId="0" fontId="3" numFmtId="164" xfId="0" applyBorder="1" applyFont="1" applyNumberFormat="1"/>
    <xf borderId="9" fillId="0" fontId="6" numFmtId="164" xfId="0" applyBorder="1" applyFont="1" applyNumberFormat="1"/>
    <xf borderId="9" fillId="7" fontId="1" numFmtId="0" xfId="0" applyAlignment="1" applyBorder="1" applyFont="1">
      <alignment vertical="center"/>
    </xf>
    <xf borderId="9" fillId="7" fontId="1" numFmtId="164" xfId="0" applyBorder="1" applyFont="1" applyNumberFormat="1"/>
    <xf borderId="15" fillId="0" fontId="6" numFmtId="164" xfId="0" applyBorder="1" applyFont="1" applyNumberFormat="1"/>
    <xf borderId="19" fillId="7" fontId="1" numFmtId="0" xfId="0" applyAlignment="1" applyBorder="1" applyFont="1">
      <alignment vertical="center"/>
    </xf>
    <xf borderId="19" fillId="7" fontId="1" numFmtId="164" xfId="0" applyBorder="1" applyFont="1" applyNumberFormat="1"/>
    <xf borderId="19" fillId="7" fontId="21" numFmtId="164" xfId="0" applyBorder="1" applyFont="1" applyNumberFormat="1"/>
    <xf borderId="19" fillId="7" fontId="23" numFmtId="164" xfId="0" applyBorder="1" applyFont="1" applyNumberFormat="1"/>
    <xf borderId="19" fillId="2" fontId="6" numFmtId="164" xfId="0" applyBorder="1" applyFont="1" applyNumberFormat="1"/>
    <xf borderId="19" fillId="2" fontId="22" numFmtId="164" xfId="0" applyBorder="1" applyFont="1" applyNumberFormat="1"/>
    <xf borderId="19" fillId="7" fontId="22" numFmtId="164" xfId="0" applyBorder="1" applyFont="1" applyNumberFormat="1"/>
    <xf borderId="20" fillId="0" fontId="6" numFmtId="164" xfId="0" applyBorder="1" applyFont="1" applyNumberFormat="1"/>
    <xf borderId="5" fillId="0" fontId="6" numFmtId="164" xfId="0" applyBorder="1" applyFont="1" applyNumberFormat="1"/>
    <xf borderId="21" fillId="0" fontId="6" numFmtId="164" xfId="0" applyBorder="1" applyFont="1" applyNumberFormat="1"/>
    <xf borderId="9" fillId="7" fontId="1" numFmtId="0" xfId="0" applyAlignment="1" applyBorder="1" applyFont="1">
      <alignment horizontal="left" vertical="center"/>
    </xf>
    <xf borderId="9" fillId="7" fontId="2" numFmtId="164" xfId="0" applyBorder="1" applyFont="1" applyNumberFormat="1"/>
    <xf borderId="9" fillId="7" fontId="23" numFmtId="164" xfId="0" applyBorder="1" applyFont="1" applyNumberFormat="1"/>
    <xf borderId="15" fillId="0" fontId="10" numFmtId="164" xfId="0" applyBorder="1" applyFont="1" applyNumberFormat="1"/>
    <xf borderId="9" fillId="0" fontId="10" numFmtId="164" xfId="0" applyBorder="1" applyFont="1" applyNumberFormat="1"/>
    <xf borderId="9" fillId="2" fontId="10" numFmtId="164" xfId="0" applyBorder="1" applyFont="1" applyNumberFormat="1"/>
    <xf borderId="9" fillId="4" fontId="1" numFmtId="0" xfId="0" applyAlignment="1" applyBorder="1" applyFont="1">
      <alignment vertical="center"/>
    </xf>
    <xf borderId="9" fillId="8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0" fillId="0" fontId="2" numFmtId="0" xfId="0" applyFont="1"/>
    <xf borderId="16" fillId="2" fontId="15" numFmtId="0" xfId="0" applyBorder="1" applyFont="1"/>
    <xf borderId="16" fillId="2" fontId="5" numFmtId="0" xfId="0" applyBorder="1" applyFont="1"/>
    <xf borderId="0" fillId="0" fontId="16" numFmtId="0" xfId="0" applyAlignment="1" applyFont="1">
      <alignment vertical="center"/>
    </xf>
    <xf borderId="16" fillId="2" fontId="15" numFmtId="165" xfId="0" applyBorder="1" applyFont="1" applyNumberFormat="1"/>
    <xf borderId="0" fillId="0" fontId="2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34.0"/>
    <col customWidth="1" min="3" max="3" width="14.14"/>
    <col customWidth="1" min="4" max="4" width="13.29"/>
    <col customWidth="1" min="5" max="5" width="14.29"/>
    <col customWidth="1" min="6" max="6" width="11.14"/>
    <col customWidth="1" min="7" max="7" width="13.71"/>
    <col customWidth="1" min="8" max="8" width="13.14"/>
    <col customWidth="1" min="9" max="9" width="16.0"/>
    <col customWidth="1" min="10" max="10" width="12.0"/>
    <col customWidth="1" min="11" max="11" width="14.14"/>
    <col customWidth="1" min="12" max="12" width="12.0"/>
    <col customWidth="1" min="13" max="13" width="16.0"/>
    <col customWidth="1" min="14" max="14" width="13.86"/>
    <col customWidth="1" min="15" max="15" width="12.29"/>
    <col customWidth="1" min="16" max="16" width="11.43"/>
    <col customWidth="1" min="17" max="17" width="9.43"/>
    <col customWidth="1" min="18" max="27" width="11.43"/>
  </cols>
  <sheetData>
    <row r="1" ht="12.75" customHeight="1">
      <c r="A1" s="1"/>
      <c r="B1" s="2"/>
      <c r="C1" s="3"/>
      <c r="D1" s="4"/>
      <c r="E1" s="4"/>
      <c r="F1" s="4"/>
      <c r="G1" s="5"/>
      <c r="H1" s="6"/>
      <c r="I1" s="4"/>
      <c r="J1" s="4"/>
      <c r="K1" s="4"/>
      <c r="L1" s="4"/>
      <c r="M1" s="4"/>
      <c r="N1" s="4"/>
      <c r="O1" s="4"/>
      <c r="P1" s="4"/>
      <c r="Q1" s="7"/>
    </row>
    <row r="2" ht="12.75" customHeight="1">
      <c r="A2" s="8"/>
      <c r="B2" s="9"/>
      <c r="C2" s="10"/>
      <c r="D2" s="11"/>
      <c r="E2" s="11"/>
      <c r="F2" s="11"/>
      <c r="G2" s="12"/>
      <c r="H2" s="13"/>
      <c r="I2" s="11"/>
      <c r="J2" s="11"/>
      <c r="K2" s="11"/>
      <c r="L2" s="11"/>
      <c r="M2" s="11"/>
      <c r="N2" s="11"/>
      <c r="O2" s="11"/>
      <c r="P2" s="11"/>
      <c r="Q2" s="14"/>
    </row>
    <row r="3">
      <c r="A3" s="15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7"/>
    </row>
    <row r="4" ht="20.25" customHeight="1">
      <c r="A4" s="18"/>
      <c r="B4" s="18"/>
      <c r="C4" s="19" t="s">
        <v>1</v>
      </c>
      <c r="D4" s="20"/>
      <c r="E4" s="21" t="s">
        <v>2</v>
      </c>
      <c r="F4" s="20"/>
      <c r="G4" s="21" t="s">
        <v>3</v>
      </c>
      <c r="H4" s="20"/>
      <c r="I4" s="21" t="s">
        <v>4</v>
      </c>
      <c r="J4" s="20"/>
      <c r="K4" s="21" t="s">
        <v>5</v>
      </c>
      <c r="L4" s="20"/>
      <c r="M4" s="21" t="s">
        <v>6</v>
      </c>
      <c r="N4" s="22"/>
      <c r="O4" s="23" t="s">
        <v>7</v>
      </c>
      <c r="P4" s="24"/>
      <c r="Q4" s="20"/>
    </row>
    <row r="5" ht="18.75" customHeight="1">
      <c r="A5" s="25" t="s">
        <v>8</v>
      </c>
      <c r="B5" s="26" t="s">
        <v>9</v>
      </c>
      <c r="C5" s="27" t="s">
        <v>10</v>
      </c>
      <c r="D5" s="27" t="s">
        <v>11</v>
      </c>
      <c r="E5" s="27" t="s">
        <v>10</v>
      </c>
      <c r="F5" s="27" t="s">
        <v>11</v>
      </c>
      <c r="G5" s="28" t="s">
        <v>10</v>
      </c>
      <c r="H5" s="27" t="s">
        <v>11</v>
      </c>
      <c r="I5" s="27" t="s">
        <v>10</v>
      </c>
      <c r="J5" s="27" t="s">
        <v>11</v>
      </c>
      <c r="K5" s="27" t="s">
        <v>10</v>
      </c>
      <c r="L5" s="27" t="s">
        <v>11</v>
      </c>
      <c r="M5" s="27" t="s">
        <v>10</v>
      </c>
      <c r="N5" s="29" t="s">
        <v>11</v>
      </c>
      <c r="O5" s="30" t="s">
        <v>12</v>
      </c>
      <c r="P5" s="27" t="s">
        <v>11</v>
      </c>
      <c r="Q5" s="27" t="s">
        <v>13</v>
      </c>
    </row>
    <row r="6" ht="12.75" customHeight="1">
      <c r="A6" s="31" t="s">
        <v>14</v>
      </c>
      <c r="B6" s="32" t="s">
        <v>15</v>
      </c>
      <c r="C6" s="33">
        <v>8.0</v>
      </c>
      <c r="D6" s="33"/>
      <c r="E6" s="33">
        <v>8.0</v>
      </c>
      <c r="F6" s="34">
        <v>3.5</v>
      </c>
      <c r="G6" s="35"/>
      <c r="H6" s="36"/>
      <c r="I6" s="33">
        <v>8.0</v>
      </c>
      <c r="J6" s="33"/>
      <c r="K6" s="33">
        <v>8.0</v>
      </c>
      <c r="L6" s="33"/>
      <c r="M6" s="33">
        <v>8.0</v>
      </c>
      <c r="N6" s="33"/>
      <c r="O6" s="37">
        <f t="shared" ref="O6:O104" si="1">SUM(C6,E6,I6,K6,M6)</f>
        <v>40</v>
      </c>
      <c r="P6" s="38">
        <f t="shared" ref="P6:P17" si="2">SUM(D6+F6+H6+J6+L6+N6)</f>
        <v>3.5</v>
      </c>
      <c r="Q6" s="37">
        <f t="shared" ref="Q6:Q104" si="3">IF(C6="sick",8,0)+IF(E6="sick",8,0)+IF(I6="sick",8,0)+IF(K6="sick",8,0)+IF(M6="sick",8,0)</f>
        <v>0</v>
      </c>
      <c r="R6" s="39"/>
      <c r="S6" s="40"/>
      <c r="T6" s="40"/>
      <c r="U6" s="40"/>
      <c r="V6" s="40"/>
      <c r="W6" s="40"/>
      <c r="X6" s="40"/>
      <c r="Y6" s="40"/>
      <c r="Z6" s="40"/>
      <c r="AA6" s="40"/>
    </row>
    <row r="7" ht="12.75" customHeight="1">
      <c r="A7" s="41" t="s">
        <v>16</v>
      </c>
      <c r="B7" s="32" t="s">
        <v>17</v>
      </c>
      <c r="C7" s="33">
        <v>8.0</v>
      </c>
      <c r="D7" s="33"/>
      <c r="E7" s="33">
        <v>8.0</v>
      </c>
      <c r="F7" s="33"/>
      <c r="G7" s="35"/>
      <c r="H7" s="36"/>
      <c r="I7" s="33">
        <v>8.0</v>
      </c>
      <c r="J7" s="33"/>
      <c r="K7" s="33">
        <v>8.0</v>
      </c>
      <c r="L7" s="33"/>
      <c r="M7" s="33">
        <v>8.0</v>
      </c>
      <c r="N7" s="33"/>
      <c r="O7" s="37">
        <f t="shared" si="1"/>
        <v>40</v>
      </c>
      <c r="P7" s="37">
        <f t="shared" si="2"/>
        <v>0</v>
      </c>
      <c r="Q7" s="37">
        <f t="shared" si="3"/>
        <v>0</v>
      </c>
      <c r="R7" s="39"/>
      <c r="S7" s="40"/>
      <c r="T7" s="40"/>
      <c r="U7" s="40"/>
      <c r="V7" s="40"/>
      <c r="W7" s="40"/>
      <c r="X7" s="40"/>
      <c r="Y7" s="40"/>
      <c r="Z7" s="40"/>
      <c r="AA7" s="40"/>
    </row>
    <row r="8" ht="12.75" customHeight="1">
      <c r="A8" s="41" t="s">
        <v>18</v>
      </c>
      <c r="B8" s="32" t="s">
        <v>17</v>
      </c>
      <c r="C8" s="33">
        <v>8.0</v>
      </c>
      <c r="D8" s="33"/>
      <c r="E8" s="33">
        <v>8.0</v>
      </c>
      <c r="F8" s="33"/>
      <c r="G8" s="35"/>
      <c r="H8" s="36"/>
      <c r="I8" s="33">
        <v>8.0</v>
      </c>
      <c r="J8" s="33"/>
      <c r="K8" s="33">
        <v>8.0</v>
      </c>
      <c r="L8" s="33"/>
      <c r="M8" s="33">
        <v>8.0</v>
      </c>
      <c r="N8" s="33"/>
      <c r="O8" s="37">
        <f t="shared" si="1"/>
        <v>40</v>
      </c>
      <c r="P8" s="37">
        <f t="shared" si="2"/>
        <v>0</v>
      </c>
      <c r="Q8" s="37">
        <f t="shared" si="3"/>
        <v>0</v>
      </c>
      <c r="R8" s="39"/>
      <c r="S8" s="40"/>
      <c r="T8" s="40"/>
      <c r="U8" s="40"/>
      <c r="V8" s="40"/>
      <c r="W8" s="40"/>
      <c r="X8" s="40"/>
      <c r="Y8" s="40"/>
      <c r="Z8" s="40"/>
      <c r="AA8" s="40"/>
    </row>
    <row r="9" ht="12.75" customHeight="1">
      <c r="A9" s="41" t="s">
        <v>19</v>
      </c>
      <c r="B9" s="32" t="s">
        <v>17</v>
      </c>
      <c r="C9" s="33">
        <v>8.0</v>
      </c>
      <c r="D9" s="33"/>
      <c r="E9" s="33">
        <v>8.0</v>
      </c>
      <c r="F9" s="33"/>
      <c r="G9" s="35"/>
      <c r="H9" s="36"/>
      <c r="I9" s="33">
        <v>8.0</v>
      </c>
      <c r="J9" s="33"/>
      <c r="K9" s="33">
        <v>8.0</v>
      </c>
      <c r="L9" s="33"/>
      <c r="M9" s="33">
        <v>8.0</v>
      </c>
      <c r="N9" s="33"/>
      <c r="O9" s="37">
        <f t="shared" si="1"/>
        <v>40</v>
      </c>
      <c r="P9" s="37">
        <f t="shared" si="2"/>
        <v>0</v>
      </c>
      <c r="Q9" s="37">
        <f t="shared" si="3"/>
        <v>0</v>
      </c>
      <c r="R9" s="40"/>
      <c r="S9" s="40"/>
      <c r="T9" s="40"/>
      <c r="U9" s="40"/>
      <c r="V9" s="40"/>
      <c r="W9" s="40"/>
      <c r="X9" s="40"/>
      <c r="Y9" s="40"/>
      <c r="Z9" s="40"/>
      <c r="AA9" s="40"/>
    </row>
    <row r="10" ht="12.75" customHeight="1">
      <c r="A10" s="41" t="s">
        <v>20</v>
      </c>
      <c r="B10" s="32" t="s">
        <v>17</v>
      </c>
      <c r="C10" s="33">
        <v>8.0</v>
      </c>
      <c r="D10" s="33"/>
      <c r="E10" s="33">
        <v>8.0</v>
      </c>
      <c r="F10" s="33"/>
      <c r="G10" s="35"/>
      <c r="H10" s="36"/>
      <c r="I10" s="42">
        <v>0.0</v>
      </c>
      <c r="J10" s="33"/>
      <c r="K10" s="33">
        <v>8.0</v>
      </c>
      <c r="L10" s="33"/>
      <c r="M10" s="33">
        <v>8.0</v>
      </c>
      <c r="N10" s="33"/>
      <c r="O10" s="37">
        <f t="shared" si="1"/>
        <v>32</v>
      </c>
      <c r="P10" s="37">
        <f t="shared" si="2"/>
        <v>0</v>
      </c>
      <c r="Q10" s="37">
        <f t="shared" si="3"/>
        <v>0</v>
      </c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 ht="12.75" customHeight="1">
      <c r="A11" s="41" t="s">
        <v>21</v>
      </c>
      <c r="B11" s="32" t="s">
        <v>17</v>
      </c>
      <c r="C11" s="33">
        <v>8.0</v>
      </c>
      <c r="D11" s="33"/>
      <c r="E11" s="33">
        <v>8.0</v>
      </c>
      <c r="F11" s="33"/>
      <c r="G11" s="35"/>
      <c r="H11" s="36"/>
      <c r="I11" s="33">
        <v>8.0</v>
      </c>
      <c r="J11" s="33"/>
      <c r="K11" s="33">
        <v>8.0</v>
      </c>
      <c r="L11" s="33"/>
      <c r="M11" s="33">
        <v>8.0</v>
      </c>
      <c r="N11" s="33"/>
      <c r="O11" s="37">
        <f t="shared" si="1"/>
        <v>40</v>
      </c>
      <c r="P11" s="37">
        <f t="shared" si="2"/>
        <v>0</v>
      </c>
      <c r="Q11" s="37">
        <f t="shared" si="3"/>
        <v>0</v>
      </c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ht="12.75" customHeight="1">
      <c r="A12" s="41" t="s">
        <v>22</v>
      </c>
      <c r="B12" s="43" t="s">
        <v>17</v>
      </c>
      <c r="C12" s="33">
        <v>8.0</v>
      </c>
      <c r="D12" s="33"/>
      <c r="E12" s="33">
        <v>8.0</v>
      </c>
      <c r="F12" s="33"/>
      <c r="G12" s="35"/>
      <c r="H12" s="36"/>
      <c r="I12" s="33">
        <v>8.0</v>
      </c>
      <c r="J12" s="33"/>
      <c r="K12" s="33">
        <v>8.0</v>
      </c>
      <c r="L12" s="33"/>
      <c r="M12" s="33">
        <v>8.0</v>
      </c>
      <c r="N12" s="33"/>
      <c r="O12" s="37">
        <f t="shared" si="1"/>
        <v>40</v>
      </c>
      <c r="P12" s="37">
        <f t="shared" si="2"/>
        <v>0</v>
      </c>
      <c r="Q12" s="37">
        <f t="shared" si="3"/>
        <v>0</v>
      </c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ht="12.75" customHeight="1">
      <c r="A13" s="31" t="s">
        <v>23</v>
      </c>
      <c r="B13" s="32" t="s">
        <v>24</v>
      </c>
      <c r="C13" s="44">
        <v>0.0</v>
      </c>
      <c r="D13" s="33"/>
      <c r="E13" s="33">
        <v>8.0</v>
      </c>
      <c r="F13" s="33"/>
      <c r="G13" s="35"/>
      <c r="H13" s="36"/>
      <c r="I13" s="33">
        <v>8.0</v>
      </c>
      <c r="J13" s="33"/>
      <c r="K13" s="33">
        <v>8.0</v>
      </c>
      <c r="L13" s="33"/>
      <c r="M13" s="33">
        <v>8.0</v>
      </c>
      <c r="N13" s="33"/>
      <c r="O13" s="37">
        <f t="shared" si="1"/>
        <v>32</v>
      </c>
      <c r="P13" s="37">
        <f t="shared" si="2"/>
        <v>0</v>
      </c>
      <c r="Q13" s="37">
        <f t="shared" si="3"/>
        <v>0</v>
      </c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ht="12.75" customHeight="1">
      <c r="A14" s="41" t="s">
        <v>25</v>
      </c>
      <c r="B14" s="45" t="s">
        <v>17</v>
      </c>
      <c r="C14" s="33">
        <v>8.0</v>
      </c>
      <c r="D14" s="33"/>
      <c r="E14" s="33">
        <v>8.0</v>
      </c>
      <c r="F14" s="33"/>
      <c r="G14" s="35"/>
      <c r="H14" s="36"/>
      <c r="I14" s="33">
        <v>8.0</v>
      </c>
      <c r="J14" s="33"/>
      <c r="K14" s="33">
        <v>8.0</v>
      </c>
      <c r="L14" s="33"/>
      <c r="M14" s="33">
        <v>8.0</v>
      </c>
      <c r="N14" s="33"/>
      <c r="O14" s="37">
        <f t="shared" si="1"/>
        <v>40</v>
      </c>
      <c r="P14" s="37">
        <f t="shared" si="2"/>
        <v>0</v>
      </c>
      <c r="Q14" s="37">
        <f t="shared" si="3"/>
        <v>0</v>
      </c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 ht="12.75" customHeight="1">
      <c r="A15" s="46" t="s">
        <v>26</v>
      </c>
      <c r="B15" s="43" t="s">
        <v>27</v>
      </c>
      <c r="C15" s="33">
        <v>8.0</v>
      </c>
      <c r="D15" s="33"/>
      <c r="E15" s="33">
        <v>8.0</v>
      </c>
      <c r="F15" s="33"/>
      <c r="G15" s="35"/>
      <c r="H15" s="36"/>
      <c r="I15" s="33">
        <v>8.0</v>
      </c>
      <c r="J15" s="33"/>
      <c r="K15" s="33">
        <v>8.0</v>
      </c>
      <c r="L15" s="33"/>
      <c r="M15" s="33">
        <v>8.0</v>
      </c>
      <c r="N15" s="33"/>
      <c r="O15" s="37">
        <f t="shared" si="1"/>
        <v>40</v>
      </c>
      <c r="P15" s="37">
        <f t="shared" si="2"/>
        <v>0</v>
      </c>
      <c r="Q15" s="37">
        <f t="shared" si="3"/>
        <v>0</v>
      </c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ht="12.75" customHeight="1">
      <c r="A16" s="31" t="s">
        <v>28</v>
      </c>
      <c r="B16" s="32" t="s">
        <v>24</v>
      </c>
      <c r="C16" s="33">
        <v>8.0</v>
      </c>
      <c r="D16" s="33"/>
      <c r="E16" s="33">
        <v>8.0</v>
      </c>
      <c r="F16" s="33"/>
      <c r="G16" s="35"/>
      <c r="H16" s="36"/>
      <c r="I16" s="33">
        <v>8.0</v>
      </c>
      <c r="J16" s="33"/>
      <c r="K16" s="33">
        <v>8.0</v>
      </c>
      <c r="L16" s="33"/>
      <c r="M16" s="33">
        <v>8.0</v>
      </c>
      <c r="N16" s="33"/>
      <c r="O16" s="37">
        <f t="shared" si="1"/>
        <v>40</v>
      </c>
      <c r="P16" s="37">
        <f t="shared" si="2"/>
        <v>0</v>
      </c>
      <c r="Q16" s="37">
        <f t="shared" si="3"/>
        <v>0</v>
      </c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 ht="12.75" customHeight="1">
      <c r="A17" s="41" t="s">
        <v>29</v>
      </c>
      <c r="B17" s="43" t="s">
        <v>17</v>
      </c>
      <c r="C17" s="33">
        <v>8.0</v>
      </c>
      <c r="D17" s="33"/>
      <c r="E17" s="33">
        <v>8.0</v>
      </c>
      <c r="F17" s="33"/>
      <c r="G17" s="35"/>
      <c r="H17" s="36"/>
      <c r="I17" s="33">
        <v>8.0</v>
      </c>
      <c r="J17" s="33"/>
      <c r="K17" s="33">
        <v>8.0</v>
      </c>
      <c r="L17" s="33"/>
      <c r="M17" s="33">
        <v>8.0</v>
      </c>
      <c r="N17" s="33"/>
      <c r="O17" s="37">
        <f t="shared" si="1"/>
        <v>40</v>
      </c>
      <c r="P17" s="47">
        <f t="shared" si="2"/>
        <v>0</v>
      </c>
      <c r="Q17" s="37">
        <f t="shared" si="3"/>
        <v>0</v>
      </c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 ht="12.75" customHeight="1">
      <c r="A18" s="31" t="s">
        <v>30</v>
      </c>
      <c r="B18" s="45" t="s">
        <v>24</v>
      </c>
      <c r="C18" s="33">
        <v>8.0</v>
      </c>
      <c r="D18" s="33"/>
      <c r="E18" s="33">
        <v>8.0</v>
      </c>
      <c r="F18" s="33"/>
      <c r="G18" s="35"/>
      <c r="H18" s="36"/>
      <c r="I18" s="33">
        <v>8.0</v>
      </c>
      <c r="J18" s="33"/>
      <c r="K18" s="33">
        <v>8.0</v>
      </c>
      <c r="L18" s="33"/>
      <c r="M18" s="33">
        <v>8.0</v>
      </c>
      <c r="N18" s="33"/>
      <c r="O18" s="37">
        <f t="shared" si="1"/>
        <v>40</v>
      </c>
      <c r="P18" s="37">
        <f t="shared" ref="P18:P104" si="4">SUM(D18+F18+G18+H18+J18+L18+N18)</f>
        <v>0</v>
      </c>
      <c r="Q18" s="37">
        <f t="shared" si="3"/>
        <v>0</v>
      </c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 ht="12.75" customHeight="1">
      <c r="A19" s="46" t="s">
        <v>31</v>
      </c>
      <c r="B19" s="43" t="s">
        <v>27</v>
      </c>
      <c r="C19" s="33">
        <v>8.0</v>
      </c>
      <c r="D19" s="33"/>
      <c r="E19" s="33">
        <v>8.0</v>
      </c>
      <c r="F19" s="33"/>
      <c r="G19" s="35"/>
      <c r="H19" s="36"/>
      <c r="I19" s="33">
        <v>8.0</v>
      </c>
      <c r="J19" s="33"/>
      <c r="K19" s="33">
        <v>8.0</v>
      </c>
      <c r="L19" s="33"/>
      <c r="M19" s="33">
        <v>8.0</v>
      </c>
      <c r="N19" s="33"/>
      <c r="O19" s="37">
        <f t="shared" si="1"/>
        <v>40</v>
      </c>
      <c r="P19" s="37">
        <f t="shared" si="4"/>
        <v>0</v>
      </c>
      <c r="Q19" s="37">
        <f t="shared" si="3"/>
        <v>0</v>
      </c>
      <c r="R19" s="40"/>
      <c r="S19" s="40"/>
      <c r="T19" s="40"/>
      <c r="U19" s="40"/>
      <c r="V19" s="40"/>
      <c r="W19" s="48"/>
      <c r="X19" s="40"/>
      <c r="Y19" s="40"/>
      <c r="Z19" s="40"/>
      <c r="AA19" s="40"/>
    </row>
    <row r="20" ht="12.75" customHeight="1">
      <c r="A20" s="31" t="s">
        <v>32</v>
      </c>
      <c r="B20" s="43" t="s">
        <v>24</v>
      </c>
      <c r="C20" s="33">
        <v>8.0</v>
      </c>
      <c r="D20" s="33"/>
      <c r="E20" s="44">
        <v>2.5</v>
      </c>
      <c r="F20" s="33"/>
      <c r="G20" s="35"/>
      <c r="H20" s="36"/>
      <c r="I20" s="33">
        <v>8.0</v>
      </c>
      <c r="J20" s="33"/>
      <c r="K20" s="33">
        <v>8.0</v>
      </c>
      <c r="L20" s="33"/>
      <c r="M20" s="33">
        <v>8.0</v>
      </c>
      <c r="N20" s="33"/>
      <c r="O20" s="49">
        <f t="shared" si="1"/>
        <v>34.5</v>
      </c>
      <c r="P20" s="37">
        <f t="shared" si="4"/>
        <v>0</v>
      </c>
      <c r="Q20" s="37">
        <f t="shared" si="3"/>
        <v>0</v>
      </c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 ht="13.5" customHeight="1">
      <c r="A21" s="31" t="s">
        <v>33</v>
      </c>
      <c r="B21" s="45" t="s">
        <v>24</v>
      </c>
      <c r="C21" s="33">
        <v>8.0</v>
      </c>
      <c r="D21" s="33"/>
      <c r="E21" s="33">
        <v>8.0</v>
      </c>
      <c r="F21" s="33"/>
      <c r="G21" s="35"/>
      <c r="H21" s="36"/>
      <c r="I21" s="33">
        <v>8.0</v>
      </c>
      <c r="J21" s="33"/>
      <c r="K21" s="33">
        <v>8.0</v>
      </c>
      <c r="L21" s="33"/>
      <c r="M21" s="33">
        <v>8.0</v>
      </c>
      <c r="N21" s="33"/>
      <c r="O21" s="37">
        <f t="shared" si="1"/>
        <v>40</v>
      </c>
      <c r="P21" s="37">
        <f t="shared" si="4"/>
        <v>0</v>
      </c>
      <c r="Q21" s="37">
        <f t="shared" si="3"/>
        <v>0</v>
      </c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ht="14.25" customHeight="1">
      <c r="A22" s="46" t="s">
        <v>34</v>
      </c>
      <c r="B22" s="32" t="s">
        <v>27</v>
      </c>
      <c r="C22" s="33">
        <v>8.0</v>
      </c>
      <c r="D22" s="33"/>
      <c r="E22" s="33">
        <v>8.0</v>
      </c>
      <c r="F22" s="34">
        <v>3.5</v>
      </c>
      <c r="G22" s="35"/>
      <c r="H22" s="36"/>
      <c r="I22" s="33">
        <v>8.0</v>
      </c>
      <c r="J22" s="33"/>
      <c r="K22" s="33">
        <v>8.0</v>
      </c>
      <c r="L22" s="33"/>
      <c r="M22" s="33">
        <v>8.0</v>
      </c>
      <c r="N22" s="33"/>
      <c r="O22" s="37">
        <f t="shared" si="1"/>
        <v>40</v>
      </c>
      <c r="P22" s="38">
        <f t="shared" si="4"/>
        <v>3.5</v>
      </c>
      <c r="Q22" s="37">
        <f t="shared" si="3"/>
        <v>0</v>
      </c>
      <c r="R22" s="50"/>
      <c r="S22" s="50"/>
      <c r="T22" s="50"/>
      <c r="U22" s="50"/>
      <c r="V22" s="50"/>
      <c r="W22" s="50"/>
      <c r="X22" s="50"/>
      <c r="Y22" s="50"/>
      <c r="Z22" s="50"/>
      <c r="AA22" s="50"/>
    </row>
    <row r="23" ht="14.25" customHeight="1">
      <c r="A23" s="41" t="s">
        <v>35</v>
      </c>
      <c r="B23" s="45" t="s">
        <v>17</v>
      </c>
      <c r="C23" s="33">
        <v>8.0</v>
      </c>
      <c r="D23" s="33"/>
      <c r="E23" s="33">
        <v>8.0</v>
      </c>
      <c r="F23" s="33"/>
      <c r="G23" s="35"/>
      <c r="H23" s="36"/>
      <c r="I23" s="33">
        <v>8.0</v>
      </c>
      <c r="J23" s="33"/>
      <c r="K23" s="33">
        <v>8.0</v>
      </c>
      <c r="L23" s="33"/>
      <c r="M23" s="33">
        <v>8.0</v>
      </c>
      <c r="N23" s="33"/>
      <c r="O23" s="37">
        <f t="shared" si="1"/>
        <v>40</v>
      </c>
      <c r="P23" s="37">
        <f t="shared" si="4"/>
        <v>0</v>
      </c>
      <c r="Q23" s="37">
        <f t="shared" si="3"/>
        <v>0</v>
      </c>
      <c r="R23" s="50"/>
      <c r="S23" s="50"/>
      <c r="T23" s="50"/>
      <c r="U23" s="50"/>
      <c r="V23" s="50"/>
      <c r="W23" s="50"/>
      <c r="X23" s="50"/>
      <c r="Y23" s="50"/>
      <c r="Z23" s="50"/>
      <c r="AA23" s="50"/>
    </row>
    <row r="24" ht="12.75" customHeight="1">
      <c r="A24" s="46" t="s">
        <v>36</v>
      </c>
      <c r="B24" s="32" t="s">
        <v>27</v>
      </c>
      <c r="C24" s="33">
        <v>8.0</v>
      </c>
      <c r="D24" s="33"/>
      <c r="E24" s="33">
        <v>8.0</v>
      </c>
      <c r="F24" s="33"/>
      <c r="G24" s="35"/>
      <c r="H24" s="36"/>
      <c r="I24" s="33">
        <v>8.0</v>
      </c>
      <c r="J24" s="33"/>
      <c r="K24" s="33">
        <v>8.0</v>
      </c>
      <c r="L24" s="33"/>
      <c r="M24" s="33">
        <v>8.0</v>
      </c>
      <c r="N24" s="33"/>
      <c r="O24" s="37">
        <f t="shared" si="1"/>
        <v>40</v>
      </c>
      <c r="P24" s="37">
        <f t="shared" si="4"/>
        <v>0</v>
      </c>
      <c r="Q24" s="33">
        <f t="shared" si="3"/>
        <v>0</v>
      </c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ht="12.75" customHeight="1">
      <c r="A25" s="41" t="s">
        <v>37</v>
      </c>
      <c r="B25" s="32" t="s">
        <v>17</v>
      </c>
      <c r="C25" s="33">
        <v>8.0</v>
      </c>
      <c r="D25" s="34">
        <v>2.0</v>
      </c>
      <c r="E25" s="33">
        <v>8.0</v>
      </c>
      <c r="F25" s="33"/>
      <c r="G25" s="35"/>
      <c r="H25" s="36"/>
      <c r="I25" s="44">
        <v>7.5</v>
      </c>
      <c r="J25" s="33"/>
      <c r="K25" s="33">
        <v>8.0</v>
      </c>
      <c r="L25" s="33"/>
      <c r="M25" s="33">
        <v>8.0</v>
      </c>
      <c r="N25" s="33"/>
      <c r="O25" s="49">
        <f t="shared" si="1"/>
        <v>39.5</v>
      </c>
      <c r="P25" s="38">
        <f t="shared" si="4"/>
        <v>2</v>
      </c>
      <c r="Q25" s="33">
        <f t="shared" si="3"/>
        <v>0</v>
      </c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ht="12.75" customHeight="1">
      <c r="A26" s="41" t="s">
        <v>38</v>
      </c>
      <c r="B26" s="32" t="s">
        <v>17</v>
      </c>
      <c r="C26" s="33">
        <v>8.0</v>
      </c>
      <c r="D26" s="34">
        <v>2.0</v>
      </c>
      <c r="E26" s="33">
        <v>8.0</v>
      </c>
      <c r="F26" s="33"/>
      <c r="G26" s="35"/>
      <c r="H26" s="36"/>
      <c r="I26" s="33">
        <v>8.0</v>
      </c>
      <c r="J26" s="33"/>
      <c r="K26" s="33">
        <v>8.0</v>
      </c>
      <c r="L26" s="33"/>
      <c r="M26" s="33">
        <v>8.0</v>
      </c>
      <c r="N26" s="33"/>
      <c r="O26" s="37">
        <f t="shared" si="1"/>
        <v>40</v>
      </c>
      <c r="P26" s="38">
        <f t="shared" si="4"/>
        <v>2</v>
      </c>
      <c r="Q26" s="33">
        <f t="shared" si="3"/>
        <v>0</v>
      </c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ht="12.75" customHeight="1">
      <c r="A27" s="41" t="s">
        <v>39</v>
      </c>
      <c r="B27" s="43" t="s">
        <v>17</v>
      </c>
      <c r="C27" s="33">
        <v>8.0</v>
      </c>
      <c r="D27" s="33"/>
      <c r="E27" s="44">
        <v>7.0</v>
      </c>
      <c r="F27" s="33"/>
      <c r="G27" s="35"/>
      <c r="H27" s="36"/>
      <c r="I27" s="33">
        <v>8.0</v>
      </c>
      <c r="J27" s="33"/>
      <c r="K27" s="33">
        <v>8.0</v>
      </c>
      <c r="L27" s="33"/>
      <c r="M27" s="33">
        <v>8.0</v>
      </c>
      <c r="N27" s="33"/>
      <c r="O27" s="37">
        <f t="shared" si="1"/>
        <v>39</v>
      </c>
      <c r="P27" s="37">
        <f t="shared" si="4"/>
        <v>0</v>
      </c>
      <c r="Q27" s="33">
        <f t="shared" si="3"/>
        <v>0</v>
      </c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ht="12.75" customHeight="1">
      <c r="A28" s="31" t="s">
        <v>40</v>
      </c>
      <c r="B28" s="43" t="s">
        <v>24</v>
      </c>
      <c r="C28" s="33">
        <v>8.0</v>
      </c>
      <c r="D28" s="33"/>
      <c r="E28" s="33">
        <v>8.0</v>
      </c>
      <c r="F28" s="33"/>
      <c r="G28" s="35"/>
      <c r="H28" s="36"/>
      <c r="I28" s="33">
        <v>8.0</v>
      </c>
      <c r="J28" s="33"/>
      <c r="K28" s="33">
        <v>8.0</v>
      </c>
      <c r="L28" s="33"/>
      <c r="M28" s="33">
        <v>8.0</v>
      </c>
      <c r="N28" s="33"/>
      <c r="O28" s="37">
        <f t="shared" si="1"/>
        <v>40</v>
      </c>
      <c r="P28" s="37">
        <f t="shared" si="4"/>
        <v>0</v>
      </c>
      <c r="Q28" s="37">
        <f t="shared" si="3"/>
        <v>0</v>
      </c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ht="12.75" customHeight="1">
      <c r="A29" s="31" t="s">
        <v>41</v>
      </c>
      <c r="B29" s="32" t="s">
        <v>24</v>
      </c>
      <c r="C29" s="33">
        <v>8.0</v>
      </c>
      <c r="D29" s="33"/>
      <c r="E29" s="33">
        <v>8.0</v>
      </c>
      <c r="F29" s="33"/>
      <c r="G29" s="35"/>
      <c r="H29" s="36"/>
      <c r="I29" s="33">
        <v>8.0</v>
      </c>
      <c r="J29" s="33"/>
      <c r="K29" s="44">
        <v>0.0</v>
      </c>
      <c r="L29" s="33"/>
      <c r="M29" s="33">
        <v>8.0</v>
      </c>
      <c r="N29" s="33"/>
      <c r="O29" s="37">
        <f t="shared" si="1"/>
        <v>32</v>
      </c>
      <c r="P29" s="37">
        <f t="shared" si="4"/>
        <v>0</v>
      </c>
      <c r="Q29" s="37">
        <f t="shared" si="3"/>
        <v>0</v>
      </c>
      <c r="R29" s="40"/>
      <c r="S29" s="39"/>
      <c r="T29" s="39"/>
      <c r="U29" s="40"/>
      <c r="V29" s="40"/>
      <c r="W29" s="40"/>
      <c r="X29" s="40"/>
      <c r="Y29" s="40"/>
      <c r="Z29" s="40"/>
      <c r="AA29" s="40"/>
    </row>
    <row r="30" ht="12.75" customHeight="1">
      <c r="A30" s="41" t="s">
        <v>42</v>
      </c>
      <c r="B30" s="32" t="s">
        <v>17</v>
      </c>
      <c r="C30" s="33">
        <v>8.0</v>
      </c>
      <c r="D30" s="33"/>
      <c r="E30" s="33">
        <v>8.0</v>
      </c>
      <c r="F30" s="33"/>
      <c r="G30" s="35"/>
      <c r="H30" s="36"/>
      <c r="I30" s="33">
        <v>8.0</v>
      </c>
      <c r="J30" s="33"/>
      <c r="K30" s="33">
        <v>8.0</v>
      </c>
      <c r="L30" s="33"/>
      <c r="M30" s="33">
        <v>8.0</v>
      </c>
      <c r="N30" s="33"/>
      <c r="O30" s="37">
        <f t="shared" si="1"/>
        <v>40</v>
      </c>
      <c r="P30" s="37">
        <f t="shared" si="4"/>
        <v>0</v>
      </c>
      <c r="Q30" s="33">
        <f t="shared" si="3"/>
        <v>0</v>
      </c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ht="12.75" customHeight="1">
      <c r="A31" s="31" t="s">
        <v>43</v>
      </c>
      <c r="B31" s="32" t="s">
        <v>24</v>
      </c>
      <c r="C31" s="33">
        <v>8.0</v>
      </c>
      <c r="D31" s="33"/>
      <c r="E31" s="33">
        <v>8.0</v>
      </c>
      <c r="F31" s="33"/>
      <c r="G31" s="35"/>
      <c r="H31" s="36"/>
      <c r="I31" s="33">
        <v>8.0</v>
      </c>
      <c r="J31" s="33"/>
      <c r="K31" s="33">
        <v>8.0</v>
      </c>
      <c r="L31" s="33"/>
      <c r="M31" s="33">
        <v>8.0</v>
      </c>
      <c r="N31" s="33"/>
      <c r="O31" s="37">
        <f t="shared" si="1"/>
        <v>40</v>
      </c>
      <c r="P31" s="37">
        <f t="shared" si="4"/>
        <v>0</v>
      </c>
      <c r="Q31" s="33">
        <f t="shared" si="3"/>
        <v>0</v>
      </c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ht="12.75" customHeight="1">
      <c r="A32" s="41" t="s">
        <v>44</v>
      </c>
      <c r="B32" s="32" t="s">
        <v>17</v>
      </c>
      <c r="C32" s="33">
        <v>8.0</v>
      </c>
      <c r="D32" s="33"/>
      <c r="E32" s="33">
        <v>8.0</v>
      </c>
      <c r="F32" s="34">
        <v>1.0</v>
      </c>
      <c r="G32" s="35"/>
      <c r="H32" s="36"/>
      <c r="I32" s="33">
        <v>8.0</v>
      </c>
      <c r="J32" s="33"/>
      <c r="K32" s="33">
        <v>8.0</v>
      </c>
      <c r="L32" s="33"/>
      <c r="M32" s="33">
        <v>8.0</v>
      </c>
      <c r="N32" s="33"/>
      <c r="O32" s="37">
        <f t="shared" si="1"/>
        <v>40</v>
      </c>
      <c r="P32" s="38">
        <f t="shared" si="4"/>
        <v>1</v>
      </c>
      <c r="Q32" s="37">
        <f t="shared" si="3"/>
        <v>0</v>
      </c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ht="12.75" customHeight="1">
      <c r="A33" s="41" t="s">
        <v>45</v>
      </c>
      <c r="B33" s="32" t="s">
        <v>17</v>
      </c>
      <c r="C33" s="33">
        <v>8.0</v>
      </c>
      <c r="D33" s="33"/>
      <c r="E33" s="33">
        <v>8.0</v>
      </c>
      <c r="F33" s="33"/>
      <c r="G33" s="35"/>
      <c r="H33" s="36"/>
      <c r="I33" s="33">
        <v>8.0</v>
      </c>
      <c r="J33" s="33"/>
      <c r="K33" s="33">
        <v>8.0</v>
      </c>
      <c r="L33" s="33"/>
      <c r="M33" s="33">
        <v>8.0</v>
      </c>
      <c r="N33" s="33"/>
      <c r="O33" s="37">
        <f t="shared" si="1"/>
        <v>40</v>
      </c>
      <c r="P33" s="37">
        <f t="shared" si="4"/>
        <v>0</v>
      </c>
      <c r="Q33" s="37">
        <f t="shared" si="3"/>
        <v>0</v>
      </c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ht="12.75" customHeight="1">
      <c r="A34" s="41" t="s">
        <v>46</v>
      </c>
      <c r="B34" s="43" t="s">
        <v>17</v>
      </c>
      <c r="C34" s="33">
        <v>8.0</v>
      </c>
      <c r="D34" s="33"/>
      <c r="E34" s="33">
        <v>8.0</v>
      </c>
      <c r="F34" s="34">
        <v>3.5</v>
      </c>
      <c r="G34" s="35"/>
      <c r="H34" s="36"/>
      <c r="I34" s="33">
        <v>8.0</v>
      </c>
      <c r="J34" s="33"/>
      <c r="K34" s="33">
        <v>8.0</v>
      </c>
      <c r="L34" s="33"/>
      <c r="M34" s="42" t="s">
        <v>13</v>
      </c>
      <c r="N34" s="33"/>
      <c r="O34" s="37">
        <f t="shared" si="1"/>
        <v>32</v>
      </c>
      <c r="P34" s="38">
        <f t="shared" si="4"/>
        <v>3.5</v>
      </c>
      <c r="Q34" s="51">
        <f t="shared" si="3"/>
        <v>8</v>
      </c>
      <c r="R34" s="48"/>
      <c r="S34" s="40"/>
      <c r="T34" s="40"/>
      <c r="U34" s="40"/>
      <c r="V34" s="40"/>
      <c r="W34" s="40"/>
      <c r="X34" s="40"/>
      <c r="Y34" s="40"/>
      <c r="Z34" s="40"/>
      <c r="AA34" s="40"/>
    </row>
    <row r="35" ht="12.75" customHeight="1">
      <c r="A35" s="41" t="s">
        <v>47</v>
      </c>
      <c r="B35" s="45" t="s">
        <v>17</v>
      </c>
      <c r="C35" s="33">
        <v>8.0</v>
      </c>
      <c r="D35" s="33"/>
      <c r="E35" s="33">
        <v>8.0</v>
      </c>
      <c r="F35" s="33"/>
      <c r="G35" s="35"/>
      <c r="H35" s="36"/>
      <c r="I35" s="33">
        <v>8.0</v>
      </c>
      <c r="J35" s="33"/>
      <c r="K35" s="33">
        <v>8.0</v>
      </c>
      <c r="L35" s="33"/>
      <c r="M35" s="33">
        <v>8.0</v>
      </c>
      <c r="N35" s="33"/>
      <c r="O35" s="37">
        <f t="shared" si="1"/>
        <v>40</v>
      </c>
      <c r="P35" s="37">
        <f t="shared" si="4"/>
        <v>0</v>
      </c>
      <c r="Q35" s="37">
        <f t="shared" si="3"/>
        <v>0</v>
      </c>
      <c r="R35" s="48"/>
      <c r="S35" s="40"/>
      <c r="T35" s="40"/>
      <c r="U35" s="40"/>
      <c r="V35" s="40"/>
      <c r="W35" s="40"/>
      <c r="X35" s="40"/>
      <c r="Y35" s="40"/>
      <c r="Z35" s="40"/>
      <c r="AA35" s="40"/>
    </row>
    <row r="36" ht="12.75" customHeight="1">
      <c r="A36" s="31" t="s">
        <v>48</v>
      </c>
      <c r="B36" s="43" t="s">
        <v>24</v>
      </c>
      <c r="C36" s="33">
        <v>8.0</v>
      </c>
      <c r="D36" s="33"/>
      <c r="E36" s="33">
        <v>8.0</v>
      </c>
      <c r="F36" s="33"/>
      <c r="G36" s="35"/>
      <c r="H36" s="36"/>
      <c r="I36" s="33">
        <v>8.0</v>
      </c>
      <c r="J36" s="33"/>
      <c r="K36" s="33">
        <v>8.0</v>
      </c>
      <c r="L36" s="33"/>
      <c r="M36" s="33">
        <v>8.0</v>
      </c>
      <c r="N36" s="33"/>
      <c r="O36" s="37">
        <f t="shared" si="1"/>
        <v>40</v>
      </c>
      <c r="P36" s="37">
        <f t="shared" si="4"/>
        <v>0</v>
      </c>
      <c r="Q36" s="37">
        <f t="shared" si="3"/>
        <v>0</v>
      </c>
      <c r="R36" s="48"/>
      <c r="S36" s="40"/>
      <c r="T36" s="40"/>
      <c r="U36" s="40"/>
      <c r="V36" s="40"/>
      <c r="W36" s="40"/>
      <c r="X36" s="40"/>
      <c r="Y36" s="40"/>
      <c r="Z36" s="40"/>
      <c r="AA36" s="40"/>
    </row>
    <row r="37" ht="12.75" customHeight="1">
      <c r="A37" s="46" t="s">
        <v>49</v>
      </c>
      <c r="B37" s="45" t="s">
        <v>27</v>
      </c>
      <c r="C37" s="33">
        <v>8.0</v>
      </c>
      <c r="D37" s="33"/>
      <c r="E37" s="33">
        <v>8.0</v>
      </c>
      <c r="F37" s="33"/>
      <c r="G37" s="35"/>
      <c r="H37" s="36"/>
      <c r="I37" s="33">
        <v>8.0</v>
      </c>
      <c r="J37" s="33"/>
      <c r="K37" s="33">
        <v>8.0</v>
      </c>
      <c r="L37" s="33"/>
      <c r="M37" s="33">
        <v>8.0</v>
      </c>
      <c r="N37" s="33"/>
      <c r="O37" s="37">
        <f t="shared" si="1"/>
        <v>40</v>
      </c>
      <c r="P37" s="37">
        <f t="shared" si="4"/>
        <v>0</v>
      </c>
      <c r="Q37" s="37">
        <f t="shared" si="3"/>
        <v>0</v>
      </c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ht="12.75" customHeight="1">
      <c r="A38" s="31" t="s">
        <v>50</v>
      </c>
      <c r="B38" s="43" t="s">
        <v>24</v>
      </c>
      <c r="C38" s="33">
        <v>8.0</v>
      </c>
      <c r="D38" s="33"/>
      <c r="E38" s="33">
        <v>8.0</v>
      </c>
      <c r="F38" s="33"/>
      <c r="G38" s="35"/>
      <c r="H38" s="36"/>
      <c r="I38" s="33">
        <v>8.0</v>
      </c>
      <c r="J38" s="33"/>
      <c r="K38" s="33">
        <v>8.0</v>
      </c>
      <c r="L38" s="33"/>
      <c r="M38" s="33">
        <v>8.0</v>
      </c>
      <c r="N38" s="33"/>
      <c r="O38" s="37">
        <f t="shared" si="1"/>
        <v>40</v>
      </c>
      <c r="P38" s="37">
        <f t="shared" si="4"/>
        <v>0</v>
      </c>
      <c r="Q38" s="37">
        <f t="shared" si="3"/>
        <v>0</v>
      </c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 ht="12.75" customHeight="1">
      <c r="A39" s="46" t="s">
        <v>51</v>
      </c>
      <c r="B39" s="32" t="s">
        <v>27</v>
      </c>
      <c r="C39" s="33">
        <v>8.0</v>
      </c>
      <c r="D39" s="33"/>
      <c r="E39" s="33">
        <v>8.0</v>
      </c>
      <c r="F39" s="33"/>
      <c r="G39" s="35"/>
      <c r="H39" s="36"/>
      <c r="I39" s="33">
        <v>8.0</v>
      </c>
      <c r="J39" s="33"/>
      <c r="K39" s="33">
        <v>8.0</v>
      </c>
      <c r="L39" s="33"/>
      <c r="M39" s="33">
        <v>8.0</v>
      </c>
      <c r="N39" s="33"/>
      <c r="O39" s="37">
        <f t="shared" si="1"/>
        <v>40</v>
      </c>
      <c r="P39" s="37">
        <f t="shared" si="4"/>
        <v>0</v>
      </c>
      <c r="Q39" s="37">
        <f t="shared" si="3"/>
        <v>0</v>
      </c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ht="12.75" customHeight="1">
      <c r="A40" s="31" t="s">
        <v>52</v>
      </c>
      <c r="B40" s="32" t="s">
        <v>24</v>
      </c>
      <c r="C40" s="33">
        <v>8.0</v>
      </c>
      <c r="D40" s="33"/>
      <c r="E40" s="33">
        <v>8.0</v>
      </c>
      <c r="F40" s="33"/>
      <c r="G40" s="35"/>
      <c r="H40" s="36"/>
      <c r="I40" s="33">
        <v>8.0</v>
      </c>
      <c r="J40" s="33"/>
      <c r="K40" s="33">
        <v>8.0</v>
      </c>
      <c r="L40" s="33"/>
      <c r="M40" s="33">
        <v>8.0</v>
      </c>
      <c r="N40" s="33"/>
      <c r="O40" s="37">
        <f t="shared" si="1"/>
        <v>40</v>
      </c>
      <c r="P40" s="37">
        <f t="shared" si="4"/>
        <v>0</v>
      </c>
      <c r="Q40" s="37">
        <f t="shared" si="3"/>
        <v>0</v>
      </c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ht="12.75" customHeight="1">
      <c r="A41" s="41" t="s">
        <v>53</v>
      </c>
      <c r="B41" s="32" t="s">
        <v>17</v>
      </c>
      <c r="C41" s="33">
        <v>0.0</v>
      </c>
      <c r="D41" s="33"/>
      <c r="E41" s="33">
        <v>0.0</v>
      </c>
      <c r="F41" s="33"/>
      <c r="G41" s="35"/>
      <c r="H41" s="36"/>
      <c r="I41" s="33">
        <v>8.0</v>
      </c>
      <c r="J41" s="33"/>
      <c r="K41" s="33">
        <v>8.0</v>
      </c>
      <c r="L41" s="33"/>
      <c r="M41" s="33">
        <v>8.0</v>
      </c>
      <c r="N41" s="33"/>
      <c r="O41" s="37">
        <f t="shared" si="1"/>
        <v>24</v>
      </c>
      <c r="P41" s="37">
        <f t="shared" si="4"/>
        <v>0</v>
      </c>
      <c r="Q41" s="37">
        <f t="shared" si="3"/>
        <v>0</v>
      </c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 ht="12.75" customHeight="1">
      <c r="A42" s="41" t="s">
        <v>54</v>
      </c>
      <c r="B42" s="32" t="s">
        <v>17</v>
      </c>
      <c r="C42" s="33">
        <v>8.0</v>
      </c>
      <c r="D42" s="33"/>
      <c r="E42" s="33">
        <v>5.0</v>
      </c>
      <c r="F42" s="33"/>
      <c r="G42" s="35"/>
      <c r="H42" s="36"/>
      <c r="I42" s="42" t="s">
        <v>13</v>
      </c>
      <c r="J42" s="33"/>
      <c r="K42" s="42" t="s">
        <v>13</v>
      </c>
      <c r="L42" s="33"/>
      <c r="M42" s="33">
        <v>8.0</v>
      </c>
      <c r="N42" s="33"/>
      <c r="O42" s="37">
        <f t="shared" si="1"/>
        <v>21</v>
      </c>
      <c r="P42" s="37">
        <f t="shared" si="4"/>
        <v>0</v>
      </c>
      <c r="Q42" s="51">
        <f t="shared" si="3"/>
        <v>16</v>
      </c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ht="12.75" customHeight="1">
      <c r="A43" s="41" t="s">
        <v>55</v>
      </c>
      <c r="B43" s="32" t="s">
        <v>17</v>
      </c>
      <c r="C43" s="33">
        <v>8.0</v>
      </c>
      <c r="D43" s="33"/>
      <c r="E43" s="33">
        <v>8.0</v>
      </c>
      <c r="F43" s="34">
        <v>3.5</v>
      </c>
      <c r="G43" s="35"/>
      <c r="H43" s="36"/>
      <c r="I43" s="33">
        <v>8.0</v>
      </c>
      <c r="J43" s="33"/>
      <c r="K43" s="33">
        <v>8.0</v>
      </c>
      <c r="L43" s="33"/>
      <c r="M43" s="33">
        <v>8.0</v>
      </c>
      <c r="N43" s="33"/>
      <c r="O43" s="52">
        <f t="shared" si="1"/>
        <v>40</v>
      </c>
      <c r="P43" s="38">
        <f t="shared" si="4"/>
        <v>3.5</v>
      </c>
      <c r="Q43" s="37">
        <f t="shared" si="3"/>
        <v>0</v>
      </c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 ht="12.75" customHeight="1">
      <c r="A44" s="41" t="s">
        <v>56</v>
      </c>
      <c r="B44" s="32" t="s">
        <v>17</v>
      </c>
      <c r="C44" s="33">
        <v>8.0</v>
      </c>
      <c r="D44" s="33"/>
      <c r="E44" s="33">
        <v>8.0</v>
      </c>
      <c r="F44" s="33"/>
      <c r="G44" s="35"/>
      <c r="H44" s="36"/>
      <c r="I44" s="33">
        <v>8.0</v>
      </c>
      <c r="J44" s="33"/>
      <c r="K44" s="33">
        <v>8.0</v>
      </c>
      <c r="L44" s="33"/>
      <c r="M44" s="33">
        <v>8.0</v>
      </c>
      <c r="N44" s="33"/>
      <c r="O44" s="52">
        <f t="shared" si="1"/>
        <v>40</v>
      </c>
      <c r="P44" s="37">
        <f t="shared" si="4"/>
        <v>0</v>
      </c>
      <c r="Q44" s="37">
        <f t="shared" si="3"/>
        <v>0</v>
      </c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 ht="12.75" customHeight="1">
      <c r="A45" s="41" t="s">
        <v>57</v>
      </c>
      <c r="B45" s="32" t="s">
        <v>17</v>
      </c>
      <c r="C45" s="33">
        <v>8.0</v>
      </c>
      <c r="D45" s="33"/>
      <c r="E45" s="33">
        <v>8.0</v>
      </c>
      <c r="F45" s="33"/>
      <c r="G45" s="35"/>
      <c r="H45" s="36"/>
      <c r="I45" s="33">
        <v>8.0</v>
      </c>
      <c r="J45" s="33"/>
      <c r="K45" s="33">
        <v>8.0</v>
      </c>
      <c r="L45" s="33"/>
      <c r="M45" s="33">
        <v>8.0</v>
      </c>
      <c r="N45" s="33"/>
      <c r="O45" s="52">
        <f t="shared" si="1"/>
        <v>40</v>
      </c>
      <c r="P45" s="37">
        <f t="shared" si="4"/>
        <v>0</v>
      </c>
      <c r="Q45" s="37">
        <f t="shared" si="3"/>
        <v>0</v>
      </c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 ht="12.75" customHeight="1">
      <c r="A46" s="41" t="s">
        <v>58</v>
      </c>
      <c r="B46" s="43" t="s">
        <v>17</v>
      </c>
      <c r="C46" s="33">
        <v>8.0</v>
      </c>
      <c r="D46" s="33"/>
      <c r="E46" s="44">
        <v>7.0</v>
      </c>
      <c r="F46" s="33"/>
      <c r="G46" s="35"/>
      <c r="H46" s="36"/>
      <c r="I46" s="42" t="s">
        <v>13</v>
      </c>
      <c r="J46" s="33"/>
      <c r="K46" s="33">
        <v>8.0</v>
      </c>
      <c r="L46" s="33"/>
      <c r="M46" s="33">
        <v>8.0</v>
      </c>
      <c r="N46" s="33"/>
      <c r="O46" s="53">
        <f t="shared" si="1"/>
        <v>31</v>
      </c>
      <c r="P46" s="37">
        <f t="shared" si="4"/>
        <v>0</v>
      </c>
      <c r="Q46" s="51">
        <f t="shared" si="3"/>
        <v>8</v>
      </c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 ht="12.75" customHeight="1">
      <c r="A47" s="41" t="s">
        <v>59</v>
      </c>
      <c r="B47" s="32" t="s">
        <v>17</v>
      </c>
      <c r="C47" s="33">
        <v>0.0</v>
      </c>
      <c r="D47" s="33"/>
      <c r="E47" s="33">
        <v>0.0</v>
      </c>
      <c r="F47" s="33"/>
      <c r="G47" s="35"/>
      <c r="H47" s="36"/>
      <c r="I47" s="33">
        <v>8.0</v>
      </c>
      <c r="J47" s="33"/>
      <c r="K47" s="33">
        <v>8.0</v>
      </c>
      <c r="L47" s="33"/>
      <c r="M47" s="33">
        <v>8.0</v>
      </c>
      <c r="N47" s="33"/>
      <c r="O47" s="52">
        <f t="shared" si="1"/>
        <v>24</v>
      </c>
      <c r="P47" s="37">
        <f t="shared" si="4"/>
        <v>0</v>
      </c>
      <c r="Q47" s="37">
        <f t="shared" si="3"/>
        <v>0</v>
      </c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 ht="12.75" customHeight="1">
      <c r="A48" s="31" t="s">
        <v>60</v>
      </c>
      <c r="B48" s="43" t="s">
        <v>24</v>
      </c>
      <c r="C48" s="33">
        <v>8.0</v>
      </c>
      <c r="D48" s="33"/>
      <c r="E48" s="33">
        <v>8.0</v>
      </c>
      <c r="F48" s="33"/>
      <c r="G48" s="35"/>
      <c r="H48" s="36"/>
      <c r="I48" s="33">
        <v>8.0</v>
      </c>
      <c r="J48" s="33"/>
      <c r="K48" s="33">
        <v>8.0</v>
      </c>
      <c r="L48" s="33"/>
      <c r="M48" s="33">
        <v>8.0</v>
      </c>
      <c r="N48" s="33"/>
      <c r="O48" s="52">
        <f t="shared" si="1"/>
        <v>40</v>
      </c>
      <c r="P48" s="37">
        <f t="shared" si="4"/>
        <v>0</v>
      </c>
      <c r="Q48" s="37">
        <f t="shared" si="3"/>
        <v>0</v>
      </c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 ht="12.75" customHeight="1">
      <c r="A49" s="41" t="s">
        <v>61</v>
      </c>
      <c r="B49" s="43" t="s">
        <v>17</v>
      </c>
      <c r="C49" s="33">
        <v>8.0</v>
      </c>
      <c r="D49" s="34">
        <v>2.0</v>
      </c>
      <c r="E49" s="33">
        <v>8.0</v>
      </c>
      <c r="F49" s="33"/>
      <c r="G49" s="35"/>
      <c r="H49" s="36"/>
      <c r="I49" s="33">
        <v>8.0</v>
      </c>
      <c r="J49" s="33"/>
      <c r="K49" s="33">
        <v>8.0</v>
      </c>
      <c r="L49" s="33"/>
      <c r="M49" s="33">
        <v>8.0</v>
      </c>
      <c r="N49" s="33"/>
      <c r="O49" s="52">
        <f t="shared" si="1"/>
        <v>40</v>
      </c>
      <c r="P49" s="38">
        <f t="shared" si="4"/>
        <v>2</v>
      </c>
      <c r="Q49" s="37">
        <f t="shared" si="3"/>
        <v>0</v>
      </c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 ht="12.75" customHeight="1">
      <c r="A50" s="41" t="s">
        <v>62</v>
      </c>
      <c r="B50" s="43" t="s">
        <v>17</v>
      </c>
      <c r="C50" s="33">
        <v>8.0</v>
      </c>
      <c r="D50" s="33"/>
      <c r="E50" s="33">
        <v>8.0</v>
      </c>
      <c r="F50" s="33"/>
      <c r="G50" s="35"/>
      <c r="H50" s="36"/>
      <c r="I50" s="33">
        <v>8.0</v>
      </c>
      <c r="J50" s="33"/>
      <c r="K50" s="33">
        <v>8.0</v>
      </c>
      <c r="L50" s="33"/>
      <c r="M50" s="33">
        <v>8.0</v>
      </c>
      <c r="N50" s="33"/>
      <c r="O50" s="52">
        <f t="shared" si="1"/>
        <v>40</v>
      </c>
      <c r="P50" s="37">
        <f t="shared" si="4"/>
        <v>0</v>
      </c>
      <c r="Q50" s="37">
        <f t="shared" si="3"/>
        <v>0</v>
      </c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 ht="12.75" customHeight="1">
      <c r="A51" s="31" t="s">
        <v>63</v>
      </c>
      <c r="B51" s="43" t="s">
        <v>24</v>
      </c>
      <c r="C51" s="33">
        <v>8.0</v>
      </c>
      <c r="D51" s="33"/>
      <c r="E51" s="33">
        <v>8.0</v>
      </c>
      <c r="F51" s="33"/>
      <c r="G51" s="35"/>
      <c r="H51" s="36"/>
      <c r="I51" s="33">
        <v>8.0</v>
      </c>
      <c r="J51" s="33"/>
      <c r="K51" s="33">
        <v>8.0</v>
      </c>
      <c r="L51" s="33"/>
      <c r="M51" s="33">
        <v>8.0</v>
      </c>
      <c r="N51" s="33"/>
      <c r="O51" s="37">
        <f t="shared" si="1"/>
        <v>40</v>
      </c>
      <c r="P51" s="37">
        <f t="shared" si="4"/>
        <v>0</v>
      </c>
      <c r="Q51" s="37">
        <f t="shared" si="3"/>
        <v>0</v>
      </c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 ht="12.75" customHeight="1">
      <c r="A52" s="41" t="s">
        <v>64</v>
      </c>
      <c r="B52" s="32" t="s">
        <v>17</v>
      </c>
      <c r="C52" s="33">
        <v>8.0</v>
      </c>
      <c r="D52" s="33"/>
      <c r="E52" s="33">
        <v>8.0</v>
      </c>
      <c r="F52" s="34">
        <v>2.0</v>
      </c>
      <c r="G52" s="35"/>
      <c r="H52" s="36"/>
      <c r="I52" s="33">
        <v>8.0</v>
      </c>
      <c r="J52" s="33"/>
      <c r="K52" s="33">
        <v>8.0</v>
      </c>
      <c r="L52" s="33"/>
      <c r="M52" s="33">
        <v>8.0</v>
      </c>
      <c r="N52" s="33"/>
      <c r="O52" s="37">
        <f t="shared" si="1"/>
        <v>40</v>
      </c>
      <c r="P52" s="38">
        <f t="shared" si="4"/>
        <v>2</v>
      </c>
      <c r="Q52" s="37">
        <f t="shared" si="3"/>
        <v>0</v>
      </c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 ht="13.5" customHeight="1">
      <c r="A53" s="31" t="s">
        <v>65</v>
      </c>
      <c r="B53" s="43" t="s">
        <v>24</v>
      </c>
      <c r="C53" s="33">
        <v>8.0</v>
      </c>
      <c r="D53" s="33"/>
      <c r="E53" s="33">
        <v>8.0</v>
      </c>
      <c r="F53" s="33"/>
      <c r="G53" s="35"/>
      <c r="H53" s="36"/>
      <c r="I53" s="33">
        <v>8.0</v>
      </c>
      <c r="J53" s="33"/>
      <c r="K53" s="33">
        <v>8.0</v>
      </c>
      <c r="L53" s="33"/>
      <c r="M53" s="33">
        <v>8.0</v>
      </c>
      <c r="N53" s="33"/>
      <c r="O53" s="37">
        <f t="shared" si="1"/>
        <v>40</v>
      </c>
      <c r="P53" s="37">
        <f t="shared" si="4"/>
        <v>0</v>
      </c>
      <c r="Q53" s="37">
        <f t="shared" si="3"/>
        <v>0</v>
      </c>
      <c r="R53" s="40"/>
      <c r="S53" s="40"/>
      <c r="T53" s="40"/>
      <c r="U53" s="40"/>
      <c r="V53" s="40"/>
      <c r="W53" s="40"/>
      <c r="X53" s="40"/>
      <c r="Y53" s="40"/>
      <c r="Z53" s="40"/>
      <c r="AA53" s="40"/>
    </row>
    <row r="54" ht="14.25" customHeight="1">
      <c r="A54" s="31" t="s">
        <v>66</v>
      </c>
      <c r="B54" s="45" t="s">
        <v>24</v>
      </c>
      <c r="C54" s="33">
        <v>8.0</v>
      </c>
      <c r="D54" s="33"/>
      <c r="E54" s="33">
        <v>8.0</v>
      </c>
      <c r="F54" s="33"/>
      <c r="G54" s="35"/>
      <c r="H54" s="36"/>
      <c r="I54" s="33">
        <v>8.0</v>
      </c>
      <c r="J54" s="33"/>
      <c r="K54" s="33">
        <v>8.0</v>
      </c>
      <c r="L54" s="33"/>
      <c r="M54" s="33">
        <v>8.0</v>
      </c>
      <c r="N54" s="33"/>
      <c r="O54" s="37">
        <f t="shared" si="1"/>
        <v>40</v>
      </c>
      <c r="P54" s="37">
        <f t="shared" si="4"/>
        <v>0</v>
      </c>
      <c r="Q54" s="37">
        <f t="shared" si="3"/>
        <v>0</v>
      </c>
      <c r="R54" s="40"/>
      <c r="S54" s="40"/>
      <c r="T54" s="40"/>
      <c r="U54" s="40"/>
      <c r="V54" s="40"/>
      <c r="W54" s="40"/>
      <c r="X54" s="40"/>
      <c r="Y54" s="40"/>
      <c r="Z54" s="40"/>
      <c r="AA54" s="40"/>
    </row>
    <row r="55" ht="12.75" customHeight="1">
      <c r="A55" s="31" t="s">
        <v>67</v>
      </c>
      <c r="B55" s="43" t="s">
        <v>24</v>
      </c>
      <c r="C55" s="33">
        <v>8.0</v>
      </c>
      <c r="D55" s="33"/>
      <c r="E55" s="33">
        <v>8.0</v>
      </c>
      <c r="F55" s="33"/>
      <c r="G55" s="35"/>
      <c r="H55" s="36"/>
      <c r="I55" s="33">
        <v>8.0</v>
      </c>
      <c r="J55" s="33"/>
      <c r="K55" s="33">
        <v>8.0</v>
      </c>
      <c r="L55" s="33"/>
      <c r="M55" s="33">
        <v>8.0</v>
      </c>
      <c r="N55" s="33"/>
      <c r="O55" s="37">
        <f t="shared" si="1"/>
        <v>40</v>
      </c>
      <c r="P55" s="37">
        <f t="shared" si="4"/>
        <v>0</v>
      </c>
      <c r="Q55" s="37">
        <f t="shared" si="3"/>
        <v>0</v>
      </c>
      <c r="R55" s="40"/>
      <c r="S55" s="40"/>
      <c r="T55" s="40"/>
      <c r="U55" s="40"/>
      <c r="V55" s="40"/>
      <c r="W55" s="40"/>
      <c r="X55" s="40"/>
      <c r="Y55" s="40"/>
      <c r="Z55" s="40"/>
      <c r="AA55" s="40"/>
    </row>
    <row r="56" ht="12.75" customHeight="1">
      <c r="A56" s="31" t="s">
        <v>68</v>
      </c>
      <c r="B56" s="32" t="s">
        <v>24</v>
      </c>
      <c r="C56" s="33">
        <v>8.0</v>
      </c>
      <c r="D56" s="33"/>
      <c r="E56" s="33">
        <v>8.0</v>
      </c>
      <c r="F56" s="33"/>
      <c r="G56" s="35"/>
      <c r="H56" s="36"/>
      <c r="I56" s="33">
        <v>8.0</v>
      </c>
      <c r="J56" s="33"/>
      <c r="K56" s="33">
        <v>8.0</v>
      </c>
      <c r="L56" s="33"/>
      <c r="M56" s="33">
        <v>8.0</v>
      </c>
      <c r="N56" s="33"/>
      <c r="O56" s="37">
        <f t="shared" si="1"/>
        <v>40</v>
      </c>
      <c r="P56" s="37">
        <f t="shared" si="4"/>
        <v>0</v>
      </c>
      <c r="Q56" s="37">
        <f t="shared" si="3"/>
        <v>0</v>
      </c>
      <c r="R56" s="40"/>
      <c r="S56" s="40"/>
      <c r="T56" s="40"/>
      <c r="U56" s="40"/>
      <c r="V56" s="40"/>
      <c r="W56" s="40"/>
      <c r="X56" s="40"/>
      <c r="Y56" s="40"/>
      <c r="Z56" s="40"/>
      <c r="AA56" s="40"/>
    </row>
    <row r="57" ht="12.75" customHeight="1">
      <c r="A57" s="41" t="s">
        <v>69</v>
      </c>
      <c r="B57" s="43" t="s">
        <v>17</v>
      </c>
      <c r="C57" s="33">
        <v>8.0</v>
      </c>
      <c r="D57" s="34">
        <v>2.0</v>
      </c>
      <c r="E57" s="33">
        <v>8.0</v>
      </c>
      <c r="F57" s="33"/>
      <c r="G57" s="35"/>
      <c r="H57" s="36"/>
      <c r="I57" s="33">
        <v>8.0</v>
      </c>
      <c r="J57" s="33"/>
      <c r="K57" s="33">
        <v>8.0</v>
      </c>
      <c r="L57" s="33"/>
      <c r="M57" s="33">
        <v>8.0</v>
      </c>
      <c r="N57" s="33"/>
      <c r="O57" s="37">
        <f t="shared" si="1"/>
        <v>40</v>
      </c>
      <c r="P57" s="38">
        <f t="shared" si="4"/>
        <v>2</v>
      </c>
      <c r="Q57" s="37">
        <f t="shared" si="3"/>
        <v>0</v>
      </c>
      <c r="R57" s="40"/>
      <c r="S57" s="40"/>
      <c r="T57" s="40"/>
      <c r="U57" s="40"/>
      <c r="V57" s="40"/>
      <c r="W57" s="40"/>
      <c r="X57" s="40"/>
      <c r="Y57" s="40"/>
      <c r="Z57" s="40"/>
      <c r="AA57" s="40"/>
    </row>
    <row r="58" ht="12.75" customHeight="1">
      <c r="A58" s="31" t="s">
        <v>70</v>
      </c>
      <c r="B58" s="32" t="s">
        <v>24</v>
      </c>
      <c r="C58" s="33">
        <v>8.0</v>
      </c>
      <c r="D58" s="33"/>
      <c r="E58" s="33">
        <v>8.0</v>
      </c>
      <c r="F58" s="33"/>
      <c r="G58" s="35"/>
      <c r="H58" s="36"/>
      <c r="I58" s="33">
        <v>8.0</v>
      </c>
      <c r="J58" s="33"/>
      <c r="K58" s="44">
        <v>0.0</v>
      </c>
      <c r="L58" s="33"/>
      <c r="M58" s="33">
        <v>8.0</v>
      </c>
      <c r="N58" s="33"/>
      <c r="O58" s="49">
        <f t="shared" si="1"/>
        <v>32</v>
      </c>
      <c r="P58" s="37">
        <f t="shared" si="4"/>
        <v>0</v>
      </c>
      <c r="Q58" s="37">
        <f t="shared" si="3"/>
        <v>0</v>
      </c>
      <c r="R58" s="40"/>
      <c r="S58" s="40"/>
      <c r="T58" s="40"/>
      <c r="U58" s="40"/>
      <c r="V58" s="40"/>
      <c r="W58" s="40"/>
      <c r="X58" s="40"/>
      <c r="Y58" s="40"/>
      <c r="Z58" s="40"/>
      <c r="AA58" s="40"/>
    </row>
    <row r="59" ht="12.75" customHeight="1">
      <c r="A59" s="46" t="s">
        <v>71</v>
      </c>
      <c r="B59" s="45" t="s">
        <v>27</v>
      </c>
      <c r="C59" s="33">
        <v>8.0</v>
      </c>
      <c r="D59" s="33"/>
      <c r="E59" s="33">
        <v>8.0</v>
      </c>
      <c r="F59" s="33"/>
      <c r="G59" s="35"/>
      <c r="H59" s="36"/>
      <c r="I59" s="33">
        <v>8.0</v>
      </c>
      <c r="J59" s="33"/>
      <c r="K59" s="33">
        <v>8.0</v>
      </c>
      <c r="L59" s="33"/>
      <c r="M59" s="44">
        <v>4.0</v>
      </c>
      <c r="N59" s="33"/>
      <c r="O59" s="37">
        <f t="shared" si="1"/>
        <v>36</v>
      </c>
      <c r="P59" s="37">
        <f t="shared" si="4"/>
        <v>0</v>
      </c>
      <c r="Q59" s="37">
        <f t="shared" si="3"/>
        <v>0</v>
      </c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ht="12.75" customHeight="1">
      <c r="A60" s="31" t="s">
        <v>72</v>
      </c>
      <c r="B60" s="45" t="s">
        <v>24</v>
      </c>
      <c r="C60" s="33">
        <v>8.0</v>
      </c>
      <c r="D60" s="33"/>
      <c r="E60" s="33">
        <v>8.0</v>
      </c>
      <c r="F60" s="33"/>
      <c r="G60" s="35"/>
      <c r="H60" s="36"/>
      <c r="I60" s="33">
        <v>8.0</v>
      </c>
      <c r="J60" s="33"/>
      <c r="K60" s="33">
        <v>8.0</v>
      </c>
      <c r="L60" s="33"/>
      <c r="M60" s="33">
        <v>8.0</v>
      </c>
      <c r="N60" s="33"/>
      <c r="O60" s="37">
        <f t="shared" si="1"/>
        <v>40</v>
      </c>
      <c r="P60" s="37">
        <f t="shared" si="4"/>
        <v>0</v>
      </c>
      <c r="Q60" s="37">
        <f t="shared" si="3"/>
        <v>0</v>
      </c>
      <c r="R60" s="40"/>
      <c r="S60" s="40"/>
      <c r="T60" s="40"/>
      <c r="U60" s="40"/>
      <c r="V60" s="40"/>
      <c r="W60" s="40"/>
      <c r="X60" s="40"/>
      <c r="Y60" s="40"/>
      <c r="Z60" s="40"/>
      <c r="AA60" s="40"/>
    </row>
    <row r="61" ht="12.75" customHeight="1">
      <c r="A61" s="41" t="s">
        <v>73</v>
      </c>
      <c r="B61" s="32" t="s">
        <v>17</v>
      </c>
      <c r="C61" s="33">
        <v>8.0</v>
      </c>
      <c r="D61" s="33"/>
      <c r="E61" s="33">
        <v>8.0</v>
      </c>
      <c r="F61" s="33"/>
      <c r="G61" s="35"/>
      <c r="H61" s="36"/>
      <c r="I61" s="33">
        <v>8.0</v>
      </c>
      <c r="J61" s="33"/>
      <c r="K61" s="33">
        <v>8.0</v>
      </c>
      <c r="L61" s="33"/>
      <c r="M61" s="33">
        <v>8.0</v>
      </c>
      <c r="N61" s="33"/>
      <c r="O61" s="37">
        <f t="shared" si="1"/>
        <v>40</v>
      </c>
      <c r="P61" s="37">
        <f t="shared" si="4"/>
        <v>0</v>
      </c>
      <c r="Q61" s="37">
        <f t="shared" si="3"/>
        <v>0</v>
      </c>
      <c r="R61" s="50"/>
      <c r="S61" s="50"/>
      <c r="T61" s="50"/>
      <c r="U61" s="50"/>
      <c r="V61" s="50"/>
      <c r="W61" s="50"/>
      <c r="X61" s="50"/>
      <c r="Y61" s="50"/>
      <c r="Z61" s="50"/>
      <c r="AA61" s="50"/>
    </row>
    <row r="62" ht="12.75" customHeight="1">
      <c r="A62" s="31" t="s">
        <v>74</v>
      </c>
      <c r="B62" s="43" t="s">
        <v>24</v>
      </c>
      <c r="C62" s="33">
        <v>8.0</v>
      </c>
      <c r="D62" s="33"/>
      <c r="E62" s="33">
        <v>8.0</v>
      </c>
      <c r="F62" s="34">
        <v>4.0</v>
      </c>
      <c r="G62" s="35"/>
      <c r="H62" s="36"/>
      <c r="I62" s="33">
        <v>8.0</v>
      </c>
      <c r="J62" s="34">
        <v>0.5</v>
      </c>
      <c r="K62" s="33">
        <v>8.0</v>
      </c>
      <c r="L62" s="33"/>
      <c r="M62" s="33">
        <v>8.0</v>
      </c>
      <c r="N62" s="33"/>
      <c r="O62" s="37">
        <f t="shared" si="1"/>
        <v>40</v>
      </c>
      <c r="P62" s="38">
        <f t="shared" si="4"/>
        <v>4.5</v>
      </c>
      <c r="Q62" s="37">
        <f t="shared" si="3"/>
        <v>0</v>
      </c>
      <c r="R62" s="40"/>
      <c r="S62" s="40"/>
      <c r="T62" s="40"/>
      <c r="U62" s="40"/>
      <c r="V62" s="40"/>
      <c r="W62" s="40"/>
      <c r="X62" s="40"/>
      <c r="Y62" s="40"/>
      <c r="Z62" s="40"/>
      <c r="AA62" s="40"/>
    </row>
    <row r="63" ht="12.75" customHeight="1">
      <c r="A63" s="41" t="s">
        <v>75</v>
      </c>
      <c r="B63" s="45" t="s">
        <v>17</v>
      </c>
      <c r="C63" s="33">
        <v>8.0</v>
      </c>
      <c r="D63" s="33"/>
      <c r="E63" s="33">
        <v>8.0</v>
      </c>
      <c r="F63" s="33"/>
      <c r="G63" s="35"/>
      <c r="H63" s="36"/>
      <c r="I63" s="44">
        <v>0.0</v>
      </c>
      <c r="J63" s="33"/>
      <c r="K63" s="33">
        <v>8.0</v>
      </c>
      <c r="L63" s="33"/>
      <c r="M63" s="33">
        <v>8.0</v>
      </c>
      <c r="N63" s="33"/>
      <c r="O63" s="37">
        <f t="shared" si="1"/>
        <v>32</v>
      </c>
      <c r="P63" s="37">
        <f t="shared" si="4"/>
        <v>0</v>
      </c>
      <c r="Q63" s="37">
        <f t="shared" si="3"/>
        <v>0</v>
      </c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ht="12.75" customHeight="1">
      <c r="A64" s="46" t="s">
        <v>76</v>
      </c>
      <c r="B64" s="43" t="s">
        <v>27</v>
      </c>
      <c r="C64" s="33">
        <v>8.0</v>
      </c>
      <c r="D64" s="33"/>
      <c r="E64" s="33">
        <v>8.0</v>
      </c>
      <c r="F64" s="34">
        <v>3.5</v>
      </c>
      <c r="G64" s="35"/>
      <c r="H64" s="36"/>
      <c r="I64" s="33">
        <v>8.0</v>
      </c>
      <c r="J64" s="33"/>
      <c r="K64" s="33">
        <v>8.0</v>
      </c>
      <c r="L64" s="33"/>
      <c r="M64" s="33">
        <v>8.0</v>
      </c>
      <c r="N64" s="33"/>
      <c r="O64" s="37">
        <f t="shared" si="1"/>
        <v>40</v>
      </c>
      <c r="P64" s="38">
        <f t="shared" si="4"/>
        <v>3.5</v>
      </c>
      <c r="Q64" s="37">
        <f t="shared" si="3"/>
        <v>0</v>
      </c>
      <c r="R64" s="40"/>
      <c r="S64" s="40"/>
      <c r="T64" s="40"/>
      <c r="U64" s="40"/>
      <c r="V64" s="40"/>
      <c r="W64" s="40"/>
      <c r="X64" s="40"/>
      <c r="Y64" s="40"/>
      <c r="Z64" s="40"/>
      <c r="AA64" s="40"/>
    </row>
    <row r="65" ht="12.75" customHeight="1">
      <c r="A65" s="46" t="s">
        <v>77</v>
      </c>
      <c r="B65" s="43" t="s">
        <v>27</v>
      </c>
      <c r="C65" s="33">
        <v>8.0</v>
      </c>
      <c r="D65" s="33"/>
      <c r="E65" s="33">
        <v>8.0</v>
      </c>
      <c r="F65" s="33"/>
      <c r="G65" s="35"/>
      <c r="H65" s="36"/>
      <c r="I65" s="33">
        <v>8.0</v>
      </c>
      <c r="J65" s="33"/>
      <c r="K65" s="33">
        <v>8.0</v>
      </c>
      <c r="L65" s="33"/>
      <c r="M65" s="33">
        <v>8.0</v>
      </c>
      <c r="N65" s="33"/>
      <c r="O65" s="37">
        <f t="shared" si="1"/>
        <v>40</v>
      </c>
      <c r="P65" s="37">
        <f t="shared" si="4"/>
        <v>0</v>
      </c>
      <c r="Q65" s="37">
        <f t="shared" si="3"/>
        <v>0</v>
      </c>
      <c r="R65" s="40"/>
      <c r="S65" s="40"/>
      <c r="T65" s="40"/>
      <c r="U65" s="40"/>
      <c r="V65" s="40"/>
      <c r="W65" s="40"/>
      <c r="X65" s="40"/>
      <c r="Y65" s="40"/>
      <c r="Z65" s="40"/>
      <c r="AA65" s="40"/>
    </row>
    <row r="66" ht="12.75" customHeight="1">
      <c r="A66" s="41" t="s">
        <v>78</v>
      </c>
      <c r="B66" s="43" t="s">
        <v>17</v>
      </c>
      <c r="C66" s="33">
        <v>0.0</v>
      </c>
      <c r="D66" s="33"/>
      <c r="E66" s="33">
        <v>0.0</v>
      </c>
      <c r="F66" s="33"/>
      <c r="G66" s="35"/>
      <c r="H66" s="36"/>
      <c r="I66" s="33">
        <v>0.0</v>
      </c>
      <c r="J66" s="33"/>
      <c r="K66" s="33">
        <v>0.0</v>
      </c>
      <c r="L66" s="33"/>
      <c r="M66" s="33">
        <v>0.0</v>
      </c>
      <c r="N66" s="33"/>
      <c r="O66" s="37">
        <f t="shared" si="1"/>
        <v>0</v>
      </c>
      <c r="P66" s="37">
        <f t="shared" si="4"/>
        <v>0</v>
      </c>
      <c r="Q66" s="37">
        <f t="shared" si="3"/>
        <v>0</v>
      </c>
      <c r="R66" s="40"/>
      <c r="S66" s="40"/>
      <c r="T66" s="40"/>
      <c r="U66" s="40"/>
      <c r="V66" s="40"/>
      <c r="W66" s="40"/>
      <c r="X66" s="40"/>
      <c r="Y66" s="40"/>
      <c r="Z66" s="40"/>
      <c r="AA66" s="40"/>
    </row>
    <row r="67" ht="12.75" customHeight="1">
      <c r="A67" s="31" t="s">
        <v>79</v>
      </c>
      <c r="B67" s="45" t="s">
        <v>24</v>
      </c>
      <c r="C67" s="33">
        <v>8.0</v>
      </c>
      <c r="D67" s="33"/>
      <c r="E67" s="33">
        <v>8.0</v>
      </c>
      <c r="F67" s="33"/>
      <c r="G67" s="35"/>
      <c r="H67" s="36"/>
      <c r="I67" s="33">
        <v>8.0</v>
      </c>
      <c r="J67" s="33"/>
      <c r="K67" s="33">
        <v>8.0</v>
      </c>
      <c r="L67" s="33"/>
      <c r="M67" s="33">
        <v>8.0</v>
      </c>
      <c r="N67" s="33"/>
      <c r="O67" s="37">
        <f t="shared" si="1"/>
        <v>40</v>
      </c>
      <c r="P67" s="37">
        <f t="shared" si="4"/>
        <v>0</v>
      </c>
      <c r="Q67" s="37">
        <f t="shared" si="3"/>
        <v>0</v>
      </c>
      <c r="R67" s="40"/>
      <c r="S67" s="40"/>
      <c r="T67" s="40"/>
      <c r="U67" s="40"/>
      <c r="V67" s="40"/>
      <c r="W67" s="40"/>
      <c r="X67" s="40"/>
      <c r="Y67" s="40"/>
      <c r="Z67" s="40"/>
      <c r="AA67" s="40"/>
    </row>
    <row r="68" ht="14.25" customHeight="1">
      <c r="A68" s="46" t="s">
        <v>80</v>
      </c>
      <c r="B68" s="32" t="s">
        <v>27</v>
      </c>
      <c r="C68" s="33">
        <v>8.0</v>
      </c>
      <c r="D68" s="33"/>
      <c r="E68" s="33">
        <v>8.0</v>
      </c>
      <c r="F68" s="33"/>
      <c r="G68" s="35"/>
      <c r="H68" s="36"/>
      <c r="I68" s="33">
        <v>8.0</v>
      </c>
      <c r="J68" s="33"/>
      <c r="K68" s="33">
        <v>8.0</v>
      </c>
      <c r="L68" s="34">
        <v>1.0</v>
      </c>
      <c r="M68" s="33">
        <v>8.0</v>
      </c>
      <c r="N68" s="33"/>
      <c r="O68" s="37">
        <f t="shared" si="1"/>
        <v>40</v>
      </c>
      <c r="P68" s="38">
        <f t="shared" si="4"/>
        <v>1</v>
      </c>
      <c r="Q68" s="37">
        <f t="shared" si="3"/>
        <v>0</v>
      </c>
      <c r="R68" s="40"/>
      <c r="S68" s="40"/>
      <c r="T68" s="40"/>
      <c r="U68" s="40"/>
      <c r="V68" s="40"/>
      <c r="W68" s="40"/>
      <c r="X68" s="40"/>
      <c r="Y68" s="40"/>
      <c r="Z68" s="40"/>
      <c r="AA68" s="40"/>
    </row>
    <row r="69" ht="12.75" customHeight="1">
      <c r="A69" s="31" t="s">
        <v>81</v>
      </c>
      <c r="B69" s="43" t="s">
        <v>24</v>
      </c>
      <c r="C69" s="33">
        <v>8.0</v>
      </c>
      <c r="D69" s="33"/>
      <c r="E69" s="33">
        <v>8.0</v>
      </c>
      <c r="F69" s="33"/>
      <c r="G69" s="35"/>
      <c r="H69" s="36"/>
      <c r="I69" s="33">
        <v>8.0</v>
      </c>
      <c r="J69" s="33"/>
      <c r="K69" s="33">
        <v>8.0</v>
      </c>
      <c r="L69" s="33"/>
      <c r="M69" s="33">
        <v>8.0</v>
      </c>
      <c r="N69" s="33"/>
      <c r="O69" s="37">
        <f t="shared" si="1"/>
        <v>40</v>
      </c>
      <c r="P69" s="37">
        <f t="shared" si="4"/>
        <v>0</v>
      </c>
      <c r="Q69" s="37">
        <f t="shared" si="3"/>
        <v>0</v>
      </c>
      <c r="R69" s="40"/>
      <c r="S69" s="40"/>
      <c r="T69" s="40"/>
      <c r="U69" s="40"/>
      <c r="V69" s="40"/>
      <c r="W69" s="40"/>
      <c r="X69" s="40"/>
      <c r="Y69" s="40"/>
      <c r="Z69" s="40"/>
      <c r="AA69" s="40"/>
    </row>
    <row r="70" ht="12.75" customHeight="1">
      <c r="A70" s="31" t="s">
        <v>82</v>
      </c>
      <c r="B70" s="32" t="s">
        <v>24</v>
      </c>
      <c r="C70" s="33">
        <v>8.0</v>
      </c>
      <c r="D70" s="33"/>
      <c r="E70" s="33">
        <v>8.0</v>
      </c>
      <c r="F70" s="34">
        <v>1.0</v>
      </c>
      <c r="G70" s="35"/>
      <c r="H70" s="36"/>
      <c r="I70" s="33">
        <v>8.0</v>
      </c>
      <c r="J70" s="33"/>
      <c r="K70" s="33">
        <v>8.0</v>
      </c>
      <c r="L70" s="33"/>
      <c r="M70" s="33">
        <v>8.0</v>
      </c>
      <c r="N70" s="33"/>
      <c r="O70" s="37">
        <f t="shared" si="1"/>
        <v>40</v>
      </c>
      <c r="P70" s="38">
        <f t="shared" si="4"/>
        <v>1</v>
      </c>
      <c r="Q70" s="37">
        <f t="shared" si="3"/>
        <v>0</v>
      </c>
      <c r="R70" s="40"/>
      <c r="S70" s="40"/>
      <c r="T70" s="40"/>
      <c r="U70" s="40"/>
      <c r="V70" s="40"/>
      <c r="W70" s="40"/>
      <c r="X70" s="40"/>
      <c r="Y70" s="40"/>
      <c r="Z70" s="40"/>
      <c r="AA70" s="40"/>
    </row>
    <row r="71" ht="12.75" customHeight="1">
      <c r="A71" s="31" t="s">
        <v>83</v>
      </c>
      <c r="B71" s="32" t="s">
        <v>24</v>
      </c>
      <c r="C71" s="33">
        <v>8.0</v>
      </c>
      <c r="D71" s="33"/>
      <c r="E71" s="33">
        <v>8.0</v>
      </c>
      <c r="F71" s="33"/>
      <c r="G71" s="35"/>
      <c r="H71" s="36"/>
      <c r="I71" s="33">
        <v>8.0</v>
      </c>
      <c r="J71" s="33"/>
      <c r="K71" s="33">
        <v>8.0</v>
      </c>
      <c r="L71" s="33"/>
      <c r="M71" s="33">
        <v>8.0</v>
      </c>
      <c r="N71" s="33"/>
      <c r="O71" s="37">
        <f t="shared" si="1"/>
        <v>40</v>
      </c>
      <c r="P71" s="37">
        <f t="shared" si="4"/>
        <v>0</v>
      </c>
      <c r="Q71" s="37">
        <f t="shared" si="3"/>
        <v>0</v>
      </c>
      <c r="R71" s="40"/>
      <c r="S71" s="40"/>
      <c r="T71" s="40"/>
      <c r="U71" s="40"/>
      <c r="V71" s="40"/>
      <c r="W71" s="40"/>
      <c r="X71" s="40"/>
      <c r="Y71" s="40"/>
      <c r="Z71" s="40"/>
      <c r="AA71" s="40"/>
    </row>
    <row r="72" ht="12.75" customHeight="1">
      <c r="A72" s="46" t="s">
        <v>84</v>
      </c>
      <c r="B72" s="32" t="s">
        <v>27</v>
      </c>
      <c r="C72" s="33">
        <v>8.0</v>
      </c>
      <c r="D72" s="33"/>
      <c r="E72" s="33">
        <v>8.0</v>
      </c>
      <c r="F72" s="33"/>
      <c r="G72" s="35"/>
      <c r="H72" s="36"/>
      <c r="I72" s="33">
        <v>8.0</v>
      </c>
      <c r="J72" s="33"/>
      <c r="K72" s="33">
        <v>8.0</v>
      </c>
      <c r="L72" s="34">
        <v>1.0</v>
      </c>
      <c r="M72" s="33">
        <v>8.0</v>
      </c>
      <c r="N72" s="33"/>
      <c r="O72" s="37">
        <f t="shared" si="1"/>
        <v>40</v>
      </c>
      <c r="P72" s="38">
        <f t="shared" si="4"/>
        <v>1</v>
      </c>
      <c r="Q72" s="37">
        <f t="shared" si="3"/>
        <v>0</v>
      </c>
      <c r="R72" s="40"/>
      <c r="S72" s="40"/>
      <c r="T72" s="40"/>
      <c r="U72" s="40"/>
      <c r="V72" s="40"/>
      <c r="W72" s="40"/>
      <c r="X72" s="40"/>
      <c r="Y72" s="40"/>
      <c r="Z72" s="40"/>
      <c r="AA72" s="40"/>
    </row>
    <row r="73" ht="12.75" customHeight="1">
      <c r="A73" s="41" t="s">
        <v>85</v>
      </c>
      <c r="B73" s="45" t="s">
        <v>17</v>
      </c>
      <c r="C73" s="33">
        <v>8.0</v>
      </c>
      <c r="D73" s="33"/>
      <c r="E73" s="44">
        <v>0.0</v>
      </c>
      <c r="F73" s="33"/>
      <c r="G73" s="35"/>
      <c r="H73" s="36"/>
      <c r="I73" s="33">
        <v>8.0</v>
      </c>
      <c r="J73" s="33"/>
      <c r="K73" s="33">
        <v>8.0</v>
      </c>
      <c r="L73" s="33"/>
      <c r="M73" s="33">
        <v>8.0</v>
      </c>
      <c r="N73" s="33"/>
      <c r="O73" s="37">
        <f t="shared" si="1"/>
        <v>32</v>
      </c>
      <c r="P73" s="37">
        <f t="shared" si="4"/>
        <v>0</v>
      </c>
      <c r="Q73" s="37">
        <f t="shared" si="3"/>
        <v>0</v>
      </c>
      <c r="R73" s="40"/>
      <c r="S73" s="40"/>
      <c r="T73" s="40"/>
      <c r="U73" s="40"/>
      <c r="V73" s="40"/>
      <c r="W73" s="40"/>
      <c r="X73" s="40"/>
      <c r="Y73" s="40"/>
      <c r="Z73" s="40"/>
      <c r="AA73" s="40"/>
    </row>
    <row r="74" ht="12.75" customHeight="1">
      <c r="A74" s="31" t="s">
        <v>86</v>
      </c>
      <c r="B74" s="32" t="s">
        <v>24</v>
      </c>
      <c r="C74" s="33">
        <v>8.0</v>
      </c>
      <c r="D74" s="34">
        <v>2.0</v>
      </c>
      <c r="E74" s="33">
        <v>8.0</v>
      </c>
      <c r="F74" s="33"/>
      <c r="G74" s="35"/>
      <c r="H74" s="36"/>
      <c r="I74" s="33">
        <v>8.0</v>
      </c>
      <c r="J74" s="33"/>
      <c r="K74" s="33">
        <v>8.0</v>
      </c>
      <c r="L74" s="35"/>
      <c r="M74" s="33">
        <v>8.0</v>
      </c>
      <c r="N74" s="33"/>
      <c r="O74" s="37">
        <f t="shared" si="1"/>
        <v>40</v>
      </c>
      <c r="P74" s="38">
        <f t="shared" si="4"/>
        <v>2</v>
      </c>
      <c r="Q74" s="37">
        <f t="shared" si="3"/>
        <v>0</v>
      </c>
      <c r="R74" s="40"/>
      <c r="S74" s="40"/>
      <c r="T74" s="40"/>
      <c r="U74" s="40"/>
      <c r="V74" s="40"/>
      <c r="W74" s="40"/>
      <c r="X74" s="40"/>
      <c r="Y74" s="40"/>
      <c r="Z74" s="40"/>
      <c r="AA74" s="40"/>
    </row>
    <row r="75" ht="12.75" customHeight="1">
      <c r="A75" s="41" t="s">
        <v>87</v>
      </c>
      <c r="B75" s="43" t="s">
        <v>17</v>
      </c>
      <c r="C75" s="33">
        <v>8.0</v>
      </c>
      <c r="D75" s="33"/>
      <c r="E75" s="33">
        <v>8.0</v>
      </c>
      <c r="F75" s="33"/>
      <c r="G75" s="35"/>
      <c r="H75" s="36"/>
      <c r="I75" s="33">
        <v>8.0</v>
      </c>
      <c r="J75" s="33"/>
      <c r="K75" s="33">
        <v>8.0</v>
      </c>
      <c r="L75" s="35"/>
      <c r="M75" s="33">
        <v>8.0</v>
      </c>
      <c r="N75" s="33"/>
      <c r="O75" s="37">
        <f t="shared" si="1"/>
        <v>40</v>
      </c>
      <c r="P75" s="37">
        <f t="shared" si="4"/>
        <v>0</v>
      </c>
      <c r="Q75" s="37">
        <f t="shared" si="3"/>
        <v>0</v>
      </c>
      <c r="R75" s="40"/>
      <c r="S75" s="40"/>
      <c r="T75" s="40"/>
      <c r="U75" s="40"/>
      <c r="V75" s="40"/>
      <c r="W75" s="40"/>
      <c r="X75" s="40"/>
      <c r="Y75" s="40"/>
      <c r="Z75" s="40"/>
      <c r="AA75" s="40"/>
    </row>
    <row r="76" ht="12.75" customHeight="1">
      <c r="A76" s="41" t="s">
        <v>88</v>
      </c>
      <c r="B76" s="32" t="s">
        <v>17</v>
      </c>
      <c r="C76" s="33">
        <v>8.0</v>
      </c>
      <c r="D76" s="33"/>
      <c r="E76" s="33">
        <v>8.0</v>
      </c>
      <c r="F76" s="33"/>
      <c r="G76" s="35"/>
      <c r="H76" s="36"/>
      <c r="I76" s="33">
        <v>8.0</v>
      </c>
      <c r="J76" s="33"/>
      <c r="K76" s="33">
        <v>8.0</v>
      </c>
      <c r="L76" s="33"/>
      <c r="M76" s="33">
        <v>8.0</v>
      </c>
      <c r="N76" s="33"/>
      <c r="O76" s="37">
        <f t="shared" si="1"/>
        <v>40</v>
      </c>
      <c r="P76" s="37">
        <f t="shared" si="4"/>
        <v>0</v>
      </c>
      <c r="Q76" s="37">
        <f t="shared" si="3"/>
        <v>0</v>
      </c>
      <c r="R76" s="40"/>
      <c r="S76" s="40"/>
      <c r="T76" s="40"/>
      <c r="U76" s="40"/>
      <c r="V76" s="40"/>
      <c r="W76" s="40"/>
      <c r="X76" s="40"/>
      <c r="Y76" s="40"/>
      <c r="Z76" s="40"/>
      <c r="AA76" s="40"/>
    </row>
    <row r="77" ht="12.75" customHeight="1">
      <c r="A77" s="41" t="s">
        <v>89</v>
      </c>
      <c r="B77" s="32" t="s">
        <v>17</v>
      </c>
      <c r="C77" s="33">
        <v>8.0</v>
      </c>
      <c r="D77" s="33"/>
      <c r="E77" s="33">
        <v>8.0</v>
      </c>
      <c r="F77" s="33"/>
      <c r="G77" s="35"/>
      <c r="H77" s="36"/>
      <c r="I77" s="42" t="s">
        <v>13</v>
      </c>
      <c r="J77" s="33"/>
      <c r="K77" s="33">
        <v>8.0</v>
      </c>
      <c r="L77" s="33"/>
      <c r="M77" s="33">
        <v>8.0</v>
      </c>
      <c r="N77" s="33"/>
      <c r="O77" s="37">
        <f t="shared" si="1"/>
        <v>32</v>
      </c>
      <c r="P77" s="37">
        <f t="shared" si="4"/>
        <v>0</v>
      </c>
      <c r="Q77" s="51">
        <f t="shared" si="3"/>
        <v>8</v>
      </c>
      <c r="R77" s="40"/>
      <c r="S77" s="40"/>
      <c r="T77" s="40"/>
      <c r="U77" s="40"/>
      <c r="V77" s="40"/>
      <c r="W77" s="40"/>
      <c r="X77" s="40"/>
      <c r="Y77" s="40"/>
      <c r="Z77" s="40"/>
      <c r="AA77" s="40"/>
    </row>
    <row r="78" ht="12.75" customHeight="1">
      <c r="A78" s="46" t="s">
        <v>90</v>
      </c>
      <c r="B78" s="45" t="s">
        <v>27</v>
      </c>
      <c r="C78" s="33">
        <v>8.0</v>
      </c>
      <c r="D78" s="33"/>
      <c r="E78" s="33">
        <v>8.0</v>
      </c>
      <c r="F78" s="33"/>
      <c r="G78" s="35"/>
      <c r="H78" s="36"/>
      <c r="I78" s="33">
        <v>8.0</v>
      </c>
      <c r="J78" s="33"/>
      <c r="K78" s="33">
        <v>8.0</v>
      </c>
      <c r="L78" s="33"/>
      <c r="M78" s="33">
        <v>8.0</v>
      </c>
      <c r="N78" s="33"/>
      <c r="O78" s="37">
        <f t="shared" si="1"/>
        <v>40</v>
      </c>
      <c r="P78" s="37">
        <f t="shared" si="4"/>
        <v>0</v>
      </c>
      <c r="Q78" s="37">
        <f t="shared" si="3"/>
        <v>0</v>
      </c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 ht="12.75" customHeight="1">
      <c r="A79" s="54" t="s">
        <v>91</v>
      </c>
      <c r="B79" s="32" t="s">
        <v>24</v>
      </c>
      <c r="C79" s="33">
        <v>8.0</v>
      </c>
      <c r="D79" s="33"/>
      <c r="E79" s="33">
        <v>8.0</v>
      </c>
      <c r="F79" s="33"/>
      <c r="G79" s="35"/>
      <c r="H79" s="36"/>
      <c r="I79" s="33">
        <v>8.0</v>
      </c>
      <c r="J79" s="33"/>
      <c r="K79" s="33">
        <v>8.0</v>
      </c>
      <c r="L79" s="33"/>
      <c r="M79" s="33">
        <v>8.0</v>
      </c>
      <c r="N79" s="33"/>
      <c r="O79" s="37">
        <f t="shared" si="1"/>
        <v>40</v>
      </c>
      <c r="P79" s="37">
        <f t="shared" si="4"/>
        <v>0</v>
      </c>
      <c r="Q79" s="37">
        <f t="shared" si="3"/>
        <v>0</v>
      </c>
      <c r="R79" s="40"/>
      <c r="S79" s="40"/>
      <c r="T79" s="40"/>
      <c r="U79" s="40"/>
      <c r="V79" s="40"/>
      <c r="W79" s="40"/>
      <c r="X79" s="40"/>
      <c r="Y79" s="40"/>
      <c r="Z79" s="40"/>
      <c r="AA79" s="40"/>
    </row>
    <row r="80" ht="12.75" customHeight="1">
      <c r="A80" s="31" t="s">
        <v>92</v>
      </c>
      <c r="B80" s="32" t="s">
        <v>24</v>
      </c>
      <c r="C80" s="33">
        <v>8.0</v>
      </c>
      <c r="D80" s="33"/>
      <c r="E80" s="33">
        <v>8.0</v>
      </c>
      <c r="F80" s="33"/>
      <c r="G80" s="35"/>
      <c r="H80" s="36"/>
      <c r="I80" s="33">
        <v>8.0</v>
      </c>
      <c r="J80" s="33"/>
      <c r="K80" s="33">
        <v>8.0</v>
      </c>
      <c r="L80" s="33"/>
      <c r="M80" s="33">
        <v>8.0</v>
      </c>
      <c r="N80" s="33"/>
      <c r="O80" s="37">
        <f t="shared" si="1"/>
        <v>40</v>
      </c>
      <c r="P80" s="37">
        <f t="shared" si="4"/>
        <v>0</v>
      </c>
      <c r="Q80" s="37">
        <f t="shared" si="3"/>
        <v>0</v>
      </c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 ht="12.75" customHeight="1">
      <c r="A81" s="41" t="s">
        <v>93</v>
      </c>
      <c r="B81" s="43" t="s">
        <v>17</v>
      </c>
      <c r="C81" s="33">
        <v>8.0</v>
      </c>
      <c r="D81" s="33"/>
      <c r="E81" s="33">
        <v>8.0</v>
      </c>
      <c r="F81" s="33"/>
      <c r="G81" s="35"/>
      <c r="H81" s="36"/>
      <c r="I81" s="33">
        <v>8.0</v>
      </c>
      <c r="J81" s="33"/>
      <c r="K81" s="33">
        <v>8.0</v>
      </c>
      <c r="L81" s="33"/>
      <c r="M81" s="33">
        <v>8.0</v>
      </c>
      <c r="N81" s="33"/>
      <c r="O81" s="37">
        <f t="shared" si="1"/>
        <v>40</v>
      </c>
      <c r="P81" s="37">
        <f t="shared" si="4"/>
        <v>0</v>
      </c>
      <c r="Q81" s="37">
        <f t="shared" si="3"/>
        <v>0</v>
      </c>
      <c r="R81" s="40"/>
      <c r="S81" s="40"/>
      <c r="T81" s="40"/>
      <c r="U81" s="40"/>
      <c r="V81" s="40"/>
      <c r="W81" s="40"/>
      <c r="X81" s="40"/>
      <c r="Y81" s="40"/>
      <c r="Z81" s="40"/>
      <c r="AA81" s="40"/>
    </row>
    <row r="82" ht="12.75" customHeight="1">
      <c r="A82" s="41" t="s">
        <v>94</v>
      </c>
      <c r="B82" s="32" t="s">
        <v>17</v>
      </c>
      <c r="C82" s="33">
        <v>8.0</v>
      </c>
      <c r="D82" s="34">
        <v>2.0</v>
      </c>
      <c r="E82" s="33">
        <v>8.0</v>
      </c>
      <c r="F82" s="33"/>
      <c r="G82" s="35"/>
      <c r="H82" s="36"/>
      <c r="I82" s="33">
        <v>8.0</v>
      </c>
      <c r="J82" s="33"/>
      <c r="K82" s="33">
        <v>8.0</v>
      </c>
      <c r="L82" s="33"/>
      <c r="M82" s="33">
        <v>8.0</v>
      </c>
      <c r="N82" s="33"/>
      <c r="O82" s="37">
        <f t="shared" si="1"/>
        <v>40</v>
      </c>
      <c r="P82" s="38">
        <f t="shared" si="4"/>
        <v>2</v>
      </c>
      <c r="Q82" s="37">
        <f t="shared" si="3"/>
        <v>0</v>
      </c>
      <c r="R82" s="40"/>
      <c r="S82" s="40"/>
      <c r="T82" s="40"/>
      <c r="U82" s="40"/>
      <c r="V82" s="40"/>
      <c r="W82" s="40"/>
      <c r="X82" s="40"/>
      <c r="Y82" s="40"/>
      <c r="Z82" s="40"/>
      <c r="AA82" s="40"/>
    </row>
    <row r="83" ht="12.75" customHeight="1">
      <c r="A83" s="55" t="s">
        <v>95</v>
      </c>
      <c r="B83" s="43" t="s">
        <v>27</v>
      </c>
      <c r="C83" s="33">
        <v>8.0</v>
      </c>
      <c r="D83" s="34">
        <v>1.0</v>
      </c>
      <c r="E83" s="33">
        <v>8.0</v>
      </c>
      <c r="F83" s="33"/>
      <c r="G83" s="35"/>
      <c r="H83" s="36"/>
      <c r="I83" s="33">
        <v>8.0</v>
      </c>
      <c r="J83" s="33"/>
      <c r="K83" s="33">
        <v>8.0</v>
      </c>
      <c r="L83" s="34">
        <v>1.5</v>
      </c>
      <c r="M83" s="33">
        <v>8.0</v>
      </c>
      <c r="N83" s="33"/>
      <c r="O83" s="37">
        <f t="shared" si="1"/>
        <v>40</v>
      </c>
      <c r="P83" s="38">
        <f t="shared" si="4"/>
        <v>2.5</v>
      </c>
      <c r="Q83" s="37">
        <f t="shared" si="3"/>
        <v>0</v>
      </c>
      <c r="R83" s="40"/>
      <c r="S83" s="40"/>
      <c r="T83" s="40"/>
      <c r="U83" s="40"/>
      <c r="V83" s="40"/>
      <c r="W83" s="40"/>
      <c r="X83" s="40"/>
      <c r="Y83" s="40"/>
      <c r="Z83" s="40"/>
      <c r="AA83" s="40"/>
    </row>
    <row r="84" ht="12.75" customHeight="1">
      <c r="A84" s="41" t="s">
        <v>96</v>
      </c>
      <c r="B84" s="45" t="s">
        <v>17</v>
      </c>
      <c r="C84" s="33">
        <v>8.0</v>
      </c>
      <c r="D84" s="33"/>
      <c r="E84" s="33">
        <v>8.0</v>
      </c>
      <c r="F84" s="33"/>
      <c r="G84" s="35"/>
      <c r="H84" s="36"/>
      <c r="I84" s="33">
        <v>8.0</v>
      </c>
      <c r="J84" s="33"/>
      <c r="K84" s="33">
        <v>8.0</v>
      </c>
      <c r="L84" s="33"/>
      <c r="M84" s="33">
        <v>8.0</v>
      </c>
      <c r="N84" s="33"/>
      <c r="O84" s="37">
        <f t="shared" si="1"/>
        <v>40</v>
      </c>
      <c r="P84" s="37">
        <f t="shared" si="4"/>
        <v>0</v>
      </c>
      <c r="Q84" s="37">
        <f t="shared" si="3"/>
        <v>0</v>
      </c>
      <c r="R84" s="40"/>
      <c r="S84" s="40"/>
      <c r="T84" s="40"/>
      <c r="U84" s="40"/>
      <c r="V84" s="40"/>
      <c r="W84" s="40"/>
      <c r="X84" s="40"/>
      <c r="Y84" s="40"/>
      <c r="Z84" s="40"/>
      <c r="AA84" s="40"/>
    </row>
    <row r="85" ht="12.75" customHeight="1">
      <c r="A85" s="41" t="s">
        <v>97</v>
      </c>
      <c r="B85" s="45" t="s">
        <v>17</v>
      </c>
      <c r="C85" s="33">
        <v>8.0</v>
      </c>
      <c r="D85" s="33"/>
      <c r="E85" s="33">
        <v>8.0</v>
      </c>
      <c r="F85" s="33"/>
      <c r="G85" s="35"/>
      <c r="H85" s="36"/>
      <c r="I85" s="33">
        <v>8.0</v>
      </c>
      <c r="J85" s="33"/>
      <c r="K85" s="33">
        <v>8.0</v>
      </c>
      <c r="L85" s="33"/>
      <c r="M85" s="33">
        <v>8.0</v>
      </c>
      <c r="N85" s="33"/>
      <c r="O85" s="37">
        <f t="shared" si="1"/>
        <v>40</v>
      </c>
      <c r="P85" s="37">
        <f t="shared" si="4"/>
        <v>0</v>
      </c>
      <c r="Q85" s="37">
        <f t="shared" si="3"/>
        <v>0</v>
      </c>
      <c r="R85" s="40"/>
      <c r="S85" s="40"/>
      <c r="T85" s="40"/>
      <c r="U85" s="40"/>
      <c r="V85" s="40"/>
      <c r="W85" s="40"/>
      <c r="X85" s="40"/>
      <c r="Y85" s="40"/>
      <c r="Z85" s="40"/>
      <c r="AA85" s="40"/>
    </row>
    <row r="86" ht="12.75" customHeight="1">
      <c r="A86" s="31" t="s">
        <v>98</v>
      </c>
      <c r="B86" s="32" t="s">
        <v>24</v>
      </c>
      <c r="C86" s="33">
        <v>8.0</v>
      </c>
      <c r="D86" s="33"/>
      <c r="E86" s="33">
        <v>8.0</v>
      </c>
      <c r="F86" s="33"/>
      <c r="G86" s="35"/>
      <c r="H86" s="36"/>
      <c r="I86" s="33">
        <v>8.0</v>
      </c>
      <c r="J86" s="33"/>
      <c r="K86" s="33">
        <v>8.0</v>
      </c>
      <c r="L86" s="33"/>
      <c r="M86" s="33">
        <v>8.0</v>
      </c>
      <c r="N86" s="33"/>
      <c r="O86" s="37">
        <f t="shared" si="1"/>
        <v>40</v>
      </c>
      <c r="P86" s="37">
        <f t="shared" si="4"/>
        <v>0</v>
      </c>
      <c r="Q86" s="37">
        <f t="shared" si="3"/>
        <v>0</v>
      </c>
      <c r="R86" s="40"/>
      <c r="S86" s="40"/>
      <c r="T86" s="40"/>
      <c r="U86" s="40"/>
      <c r="V86" s="40"/>
      <c r="W86" s="40"/>
      <c r="X86" s="40"/>
      <c r="Y86" s="40"/>
      <c r="Z86" s="40"/>
      <c r="AA86" s="40"/>
    </row>
    <row r="87" ht="12.75" customHeight="1">
      <c r="A87" s="41" t="s">
        <v>99</v>
      </c>
      <c r="B87" s="45" t="s">
        <v>17</v>
      </c>
      <c r="C87" s="42" t="s">
        <v>13</v>
      </c>
      <c r="D87" s="33"/>
      <c r="E87" s="33">
        <v>8.0</v>
      </c>
      <c r="F87" s="33"/>
      <c r="G87" s="35"/>
      <c r="H87" s="36"/>
      <c r="I87" s="33">
        <v>8.0</v>
      </c>
      <c r="J87" s="33"/>
      <c r="K87" s="33">
        <v>8.0</v>
      </c>
      <c r="L87" s="33"/>
      <c r="M87" s="33">
        <v>8.0</v>
      </c>
      <c r="N87" s="33"/>
      <c r="O87" s="37">
        <f t="shared" si="1"/>
        <v>32</v>
      </c>
      <c r="P87" s="33">
        <f t="shared" si="4"/>
        <v>0</v>
      </c>
      <c r="Q87" s="51">
        <f t="shared" si="3"/>
        <v>8</v>
      </c>
      <c r="R87" s="40"/>
      <c r="S87" s="40"/>
      <c r="T87" s="40"/>
      <c r="U87" s="40"/>
      <c r="V87" s="40"/>
      <c r="W87" s="40"/>
      <c r="X87" s="40"/>
      <c r="Y87" s="40"/>
      <c r="Z87" s="40"/>
      <c r="AA87" s="40"/>
    </row>
    <row r="88" ht="14.25" customHeight="1">
      <c r="A88" s="31" t="s">
        <v>100</v>
      </c>
      <c r="B88" s="32" t="s">
        <v>24</v>
      </c>
      <c r="C88" s="33">
        <v>8.0</v>
      </c>
      <c r="D88" s="33"/>
      <c r="E88" s="33">
        <v>8.0</v>
      </c>
      <c r="F88" s="34">
        <v>3.5</v>
      </c>
      <c r="G88" s="35"/>
      <c r="H88" s="36"/>
      <c r="I88" s="33">
        <v>8.0</v>
      </c>
      <c r="J88" s="33"/>
      <c r="K88" s="33">
        <v>8.0</v>
      </c>
      <c r="L88" s="33"/>
      <c r="M88" s="33">
        <v>8.0</v>
      </c>
      <c r="N88" s="33"/>
      <c r="O88" s="37">
        <f t="shared" si="1"/>
        <v>40</v>
      </c>
      <c r="P88" s="38">
        <f t="shared" si="4"/>
        <v>3.5</v>
      </c>
      <c r="Q88" s="37">
        <f t="shared" si="3"/>
        <v>0</v>
      </c>
      <c r="R88" s="40"/>
      <c r="S88" s="40"/>
      <c r="T88" s="40"/>
      <c r="U88" s="40"/>
      <c r="V88" s="40"/>
      <c r="W88" s="40"/>
      <c r="X88" s="40"/>
      <c r="Y88" s="40"/>
      <c r="Z88" s="40"/>
      <c r="AA88" s="40"/>
    </row>
    <row r="89" ht="14.25" customHeight="1">
      <c r="A89" s="46" t="s">
        <v>101</v>
      </c>
      <c r="B89" s="45" t="s">
        <v>27</v>
      </c>
      <c r="C89" s="33">
        <v>8.0</v>
      </c>
      <c r="D89" s="33"/>
      <c r="E89" s="33">
        <v>8.0</v>
      </c>
      <c r="F89" s="33"/>
      <c r="G89" s="35"/>
      <c r="H89" s="36"/>
      <c r="I89" s="33">
        <v>8.0</v>
      </c>
      <c r="J89" s="33"/>
      <c r="K89" s="33">
        <v>8.0</v>
      </c>
      <c r="L89" s="33"/>
      <c r="M89" s="33">
        <v>8.0</v>
      </c>
      <c r="N89" s="33"/>
      <c r="O89" s="37">
        <f t="shared" si="1"/>
        <v>40</v>
      </c>
      <c r="P89" s="37">
        <f t="shared" si="4"/>
        <v>0</v>
      </c>
      <c r="Q89" s="37">
        <f t="shared" si="3"/>
        <v>0</v>
      </c>
      <c r="R89" s="56" t="s">
        <v>102</v>
      </c>
      <c r="S89" s="50"/>
      <c r="T89" s="50"/>
      <c r="U89" s="50"/>
      <c r="V89" s="50"/>
      <c r="W89" s="50"/>
      <c r="X89" s="50"/>
      <c r="Y89" s="50"/>
      <c r="Z89" s="50"/>
      <c r="AA89" s="50"/>
    </row>
    <row r="90" ht="13.5" customHeight="1">
      <c r="A90" s="46" t="s">
        <v>103</v>
      </c>
      <c r="B90" s="45" t="s">
        <v>27</v>
      </c>
      <c r="C90" s="33">
        <v>8.0</v>
      </c>
      <c r="D90" s="34">
        <v>1.0</v>
      </c>
      <c r="E90" s="37">
        <v>8.0</v>
      </c>
      <c r="F90" s="33"/>
      <c r="G90" s="35"/>
      <c r="H90" s="36"/>
      <c r="I90" s="33">
        <v>8.0</v>
      </c>
      <c r="J90" s="34">
        <v>0.5</v>
      </c>
      <c r="K90" s="33">
        <v>8.0</v>
      </c>
      <c r="L90" s="34">
        <v>2.0</v>
      </c>
      <c r="M90" s="33">
        <v>8.0</v>
      </c>
      <c r="N90" s="34"/>
      <c r="O90" s="37">
        <f t="shared" si="1"/>
        <v>40</v>
      </c>
      <c r="P90" s="38">
        <f t="shared" si="4"/>
        <v>3.5</v>
      </c>
      <c r="Q90" s="37">
        <f t="shared" si="3"/>
        <v>0</v>
      </c>
      <c r="R90" s="48"/>
      <c r="S90" s="40"/>
      <c r="T90" s="40"/>
      <c r="U90" s="40"/>
      <c r="V90" s="40"/>
      <c r="W90" s="40"/>
      <c r="X90" s="40"/>
      <c r="Y90" s="40"/>
      <c r="Z90" s="40"/>
      <c r="AA90" s="40"/>
    </row>
    <row r="91" ht="12.75" customHeight="1">
      <c r="A91" s="41" t="s">
        <v>104</v>
      </c>
      <c r="B91" s="32" t="s">
        <v>17</v>
      </c>
      <c r="C91" s="33">
        <v>8.0</v>
      </c>
      <c r="D91" s="33"/>
      <c r="E91" s="37">
        <v>8.0</v>
      </c>
      <c r="F91" s="33"/>
      <c r="G91" s="35"/>
      <c r="H91" s="36"/>
      <c r="I91" s="33">
        <v>8.0</v>
      </c>
      <c r="J91" s="33"/>
      <c r="K91" s="33">
        <v>8.0</v>
      </c>
      <c r="L91" s="33"/>
      <c r="M91" s="33">
        <v>8.0</v>
      </c>
      <c r="N91" s="33"/>
      <c r="O91" s="37">
        <f t="shared" si="1"/>
        <v>40</v>
      </c>
      <c r="P91" s="37">
        <f t="shared" si="4"/>
        <v>0</v>
      </c>
      <c r="Q91" s="37">
        <f t="shared" si="3"/>
        <v>0</v>
      </c>
      <c r="R91" s="48"/>
      <c r="S91" s="40"/>
      <c r="T91" s="40"/>
      <c r="U91" s="40"/>
      <c r="V91" s="40"/>
      <c r="W91" s="40"/>
      <c r="X91" s="40"/>
      <c r="Y91" s="40"/>
      <c r="Z91" s="40"/>
      <c r="AA91" s="40"/>
    </row>
    <row r="92" ht="12.75" customHeight="1">
      <c r="A92" s="46" t="s">
        <v>105</v>
      </c>
      <c r="B92" s="32" t="s">
        <v>27</v>
      </c>
      <c r="C92" s="33">
        <v>8.0</v>
      </c>
      <c r="D92" s="33"/>
      <c r="E92" s="33">
        <v>8.0</v>
      </c>
      <c r="F92" s="34">
        <v>3.5</v>
      </c>
      <c r="G92" s="35"/>
      <c r="H92" s="36"/>
      <c r="I92" s="33">
        <v>8.0</v>
      </c>
      <c r="J92" s="33"/>
      <c r="K92" s="33">
        <v>8.0</v>
      </c>
      <c r="L92" s="33"/>
      <c r="M92" s="33">
        <v>8.0</v>
      </c>
      <c r="N92" s="33"/>
      <c r="O92" s="37">
        <f t="shared" si="1"/>
        <v>40</v>
      </c>
      <c r="P92" s="38">
        <f t="shared" si="4"/>
        <v>3.5</v>
      </c>
      <c r="Q92" s="37">
        <f t="shared" si="3"/>
        <v>0</v>
      </c>
      <c r="R92" s="48"/>
      <c r="S92" s="40"/>
      <c r="T92" s="40"/>
      <c r="U92" s="40"/>
      <c r="V92" s="40"/>
      <c r="W92" s="40"/>
      <c r="X92" s="40"/>
      <c r="Y92" s="40"/>
      <c r="Z92" s="40"/>
      <c r="AA92" s="40"/>
    </row>
    <row r="93" ht="12.75" customHeight="1">
      <c r="A93" s="41" t="s">
        <v>106</v>
      </c>
      <c r="B93" s="43" t="s">
        <v>17</v>
      </c>
      <c r="C93" s="33">
        <v>8.0</v>
      </c>
      <c r="D93" s="34">
        <v>2.0</v>
      </c>
      <c r="E93" s="33">
        <v>8.0</v>
      </c>
      <c r="F93" s="33"/>
      <c r="G93" s="35"/>
      <c r="H93" s="36"/>
      <c r="I93" s="33">
        <v>8.0</v>
      </c>
      <c r="J93" s="33"/>
      <c r="K93" s="33">
        <v>8.0</v>
      </c>
      <c r="L93" s="33"/>
      <c r="M93" s="33">
        <v>8.0</v>
      </c>
      <c r="N93" s="33"/>
      <c r="O93" s="37">
        <f t="shared" si="1"/>
        <v>40</v>
      </c>
      <c r="P93" s="38">
        <f t="shared" si="4"/>
        <v>2</v>
      </c>
      <c r="Q93" s="37">
        <f t="shared" si="3"/>
        <v>0</v>
      </c>
      <c r="R93" s="48"/>
      <c r="S93" s="40"/>
      <c r="T93" s="40"/>
      <c r="U93" s="40"/>
      <c r="V93" s="40"/>
      <c r="W93" s="40"/>
      <c r="X93" s="40"/>
      <c r="Y93" s="40"/>
      <c r="Z93" s="40"/>
      <c r="AA93" s="40"/>
    </row>
    <row r="94" ht="12.75" customHeight="1">
      <c r="A94" s="46" t="s">
        <v>107</v>
      </c>
      <c r="B94" s="32" t="s">
        <v>27</v>
      </c>
      <c r="C94" s="33">
        <v>8.0</v>
      </c>
      <c r="D94" s="33"/>
      <c r="E94" s="33">
        <v>8.0</v>
      </c>
      <c r="F94" s="33"/>
      <c r="G94" s="35"/>
      <c r="H94" s="36"/>
      <c r="I94" s="33">
        <v>8.0</v>
      </c>
      <c r="J94" s="33"/>
      <c r="K94" s="37">
        <v>8.0</v>
      </c>
      <c r="L94" s="33"/>
      <c r="M94" s="33">
        <v>8.0</v>
      </c>
      <c r="N94" s="33"/>
      <c r="O94" s="37">
        <f t="shared" si="1"/>
        <v>40</v>
      </c>
      <c r="P94" s="37">
        <f t="shared" si="4"/>
        <v>0</v>
      </c>
      <c r="Q94" s="37">
        <f t="shared" si="3"/>
        <v>0</v>
      </c>
      <c r="R94" s="48"/>
      <c r="S94" s="40"/>
      <c r="T94" s="40"/>
      <c r="U94" s="40"/>
      <c r="V94" s="40"/>
      <c r="W94" s="40"/>
      <c r="X94" s="40"/>
      <c r="Y94" s="40"/>
      <c r="Z94" s="40"/>
      <c r="AA94" s="40"/>
    </row>
    <row r="95" ht="12.75" customHeight="1">
      <c r="A95" s="46" t="s">
        <v>108</v>
      </c>
      <c r="B95" s="43" t="s">
        <v>27</v>
      </c>
      <c r="C95" s="33">
        <v>8.0</v>
      </c>
      <c r="D95" s="33"/>
      <c r="E95" s="33">
        <v>8.0</v>
      </c>
      <c r="F95" s="33"/>
      <c r="G95" s="35"/>
      <c r="H95" s="36"/>
      <c r="I95" s="33">
        <v>8.0</v>
      </c>
      <c r="J95" s="33"/>
      <c r="K95" s="37">
        <v>8.0</v>
      </c>
      <c r="L95" s="33"/>
      <c r="M95" s="33">
        <v>8.0</v>
      </c>
      <c r="N95" s="33"/>
      <c r="O95" s="37">
        <f t="shared" si="1"/>
        <v>40</v>
      </c>
      <c r="P95" s="37">
        <f t="shared" si="4"/>
        <v>0</v>
      </c>
      <c r="Q95" s="37">
        <f t="shared" si="3"/>
        <v>0</v>
      </c>
      <c r="R95" s="48"/>
      <c r="S95" s="40"/>
      <c r="T95" s="40"/>
      <c r="U95" s="40"/>
      <c r="V95" s="40"/>
      <c r="W95" s="40"/>
      <c r="X95" s="40"/>
      <c r="Y95" s="40"/>
      <c r="Z95" s="40"/>
      <c r="AA95" s="40"/>
    </row>
    <row r="96" ht="12.75" customHeight="1">
      <c r="A96" s="41" t="s">
        <v>109</v>
      </c>
      <c r="B96" s="32" t="s">
        <v>17</v>
      </c>
      <c r="C96" s="33">
        <v>8.0</v>
      </c>
      <c r="D96" s="33"/>
      <c r="E96" s="33">
        <v>8.0</v>
      </c>
      <c r="F96" s="33"/>
      <c r="G96" s="35"/>
      <c r="H96" s="36"/>
      <c r="I96" s="33">
        <v>8.0</v>
      </c>
      <c r="J96" s="33"/>
      <c r="K96" s="33">
        <v>8.0</v>
      </c>
      <c r="L96" s="34">
        <v>1.0</v>
      </c>
      <c r="M96" s="33">
        <v>8.0</v>
      </c>
      <c r="N96" s="33"/>
      <c r="O96" s="37">
        <f t="shared" si="1"/>
        <v>40</v>
      </c>
      <c r="P96" s="38">
        <f t="shared" si="4"/>
        <v>1</v>
      </c>
      <c r="Q96" s="37">
        <f t="shared" si="3"/>
        <v>0</v>
      </c>
      <c r="R96" s="48"/>
      <c r="S96" s="40"/>
      <c r="T96" s="40"/>
      <c r="U96" s="40"/>
      <c r="V96" s="40"/>
      <c r="W96" s="40"/>
      <c r="X96" s="40"/>
      <c r="Y96" s="40"/>
      <c r="Z96" s="40"/>
      <c r="AA96" s="40"/>
    </row>
    <row r="97" ht="12.75" customHeight="1">
      <c r="A97" s="41" t="s">
        <v>110</v>
      </c>
      <c r="B97" s="43" t="s">
        <v>17</v>
      </c>
      <c r="C97" s="33">
        <v>8.0</v>
      </c>
      <c r="D97" s="33"/>
      <c r="E97" s="33">
        <v>8.0</v>
      </c>
      <c r="F97" s="33"/>
      <c r="G97" s="35"/>
      <c r="H97" s="36"/>
      <c r="I97" s="33">
        <v>8.0</v>
      </c>
      <c r="J97" s="33"/>
      <c r="K97" s="33">
        <v>8.0</v>
      </c>
      <c r="L97" s="34">
        <v>1.0</v>
      </c>
      <c r="M97" s="33">
        <v>8.0</v>
      </c>
      <c r="N97" s="33"/>
      <c r="O97" s="37">
        <f t="shared" si="1"/>
        <v>40</v>
      </c>
      <c r="P97" s="38">
        <f t="shared" si="4"/>
        <v>1</v>
      </c>
      <c r="Q97" s="37">
        <f t="shared" si="3"/>
        <v>0</v>
      </c>
      <c r="R97" s="48"/>
      <c r="S97" s="40"/>
      <c r="T97" s="40"/>
      <c r="U97" s="40"/>
      <c r="V97" s="40"/>
      <c r="W97" s="40"/>
      <c r="X97" s="40"/>
      <c r="Y97" s="40"/>
      <c r="Z97" s="40"/>
      <c r="AA97" s="40"/>
    </row>
    <row r="98" ht="12.75" customHeight="1">
      <c r="A98" s="31" t="s">
        <v>111</v>
      </c>
      <c r="B98" s="32" t="s">
        <v>24</v>
      </c>
      <c r="C98" s="33">
        <v>8.0</v>
      </c>
      <c r="D98" s="33"/>
      <c r="E98" s="33">
        <v>8.0</v>
      </c>
      <c r="F98" s="33"/>
      <c r="G98" s="35"/>
      <c r="H98" s="36"/>
      <c r="I98" s="33">
        <v>8.0</v>
      </c>
      <c r="J98" s="33"/>
      <c r="K98" s="33">
        <v>8.0</v>
      </c>
      <c r="L98" s="33"/>
      <c r="M98" s="33">
        <v>8.0</v>
      </c>
      <c r="N98" s="33"/>
      <c r="O98" s="37">
        <f t="shared" si="1"/>
        <v>40</v>
      </c>
      <c r="P98" s="37">
        <f t="shared" si="4"/>
        <v>0</v>
      </c>
      <c r="Q98" s="37">
        <f t="shared" si="3"/>
        <v>0</v>
      </c>
      <c r="R98" s="48"/>
      <c r="S98" s="40"/>
      <c r="T98" s="40"/>
      <c r="U98" s="40"/>
      <c r="V98" s="40"/>
      <c r="W98" s="40"/>
      <c r="X98" s="40"/>
      <c r="Y98" s="40"/>
      <c r="Z98" s="40"/>
      <c r="AA98" s="40"/>
    </row>
    <row r="99" ht="12.75" customHeight="1">
      <c r="A99" s="57" t="s">
        <v>112</v>
      </c>
      <c r="B99" s="32" t="s">
        <v>17</v>
      </c>
      <c r="C99" s="33">
        <v>8.0</v>
      </c>
      <c r="D99" s="33"/>
      <c r="E99" s="33">
        <v>8.0</v>
      </c>
      <c r="F99" s="33"/>
      <c r="G99" s="35"/>
      <c r="H99" s="36"/>
      <c r="I99" s="33">
        <v>8.0</v>
      </c>
      <c r="J99" s="33"/>
      <c r="K99" s="44">
        <v>7.0</v>
      </c>
      <c r="L99" s="33"/>
      <c r="M99" s="44">
        <v>0.0</v>
      </c>
      <c r="N99" s="33"/>
      <c r="O99" s="37">
        <f t="shared" si="1"/>
        <v>31</v>
      </c>
      <c r="P99" s="37">
        <f t="shared" si="4"/>
        <v>0</v>
      </c>
      <c r="Q99" s="37">
        <f t="shared" si="3"/>
        <v>0</v>
      </c>
      <c r="R99" s="48"/>
      <c r="S99" s="40"/>
      <c r="T99" s="40"/>
      <c r="U99" s="40"/>
      <c r="V99" s="40"/>
      <c r="W99" s="40"/>
      <c r="X99" s="40"/>
      <c r="Y99" s="40"/>
      <c r="Z99" s="40"/>
      <c r="AA99" s="40"/>
    </row>
    <row r="100" ht="12.75" customHeight="1">
      <c r="A100" s="58" t="s">
        <v>113</v>
      </c>
      <c r="B100" s="43" t="s">
        <v>24</v>
      </c>
      <c r="C100" s="33">
        <v>8.0</v>
      </c>
      <c r="D100" s="33"/>
      <c r="E100" s="33">
        <v>8.0</v>
      </c>
      <c r="F100" s="33"/>
      <c r="G100" s="35"/>
      <c r="H100" s="36"/>
      <c r="I100" s="33">
        <v>8.0</v>
      </c>
      <c r="J100" s="33"/>
      <c r="K100" s="33">
        <v>8.0</v>
      </c>
      <c r="L100" s="33"/>
      <c r="M100" s="33">
        <v>8.0</v>
      </c>
      <c r="N100" s="33"/>
      <c r="O100" s="37">
        <f t="shared" si="1"/>
        <v>40</v>
      </c>
      <c r="P100" s="37">
        <f t="shared" si="4"/>
        <v>0</v>
      </c>
      <c r="Q100" s="37">
        <f t="shared" si="3"/>
        <v>0</v>
      </c>
      <c r="R100" s="48"/>
      <c r="S100" s="40"/>
      <c r="T100" s="40"/>
      <c r="U100" s="40"/>
      <c r="V100" s="40"/>
      <c r="W100" s="40"/>
      <c r="X100" s="40"/>
      <c r="Y100" s="40"/>
      <c r="Z100" s="40"/>
      <c r="AA100" s="40"/>
    </row>
    <row r="101" ht="12.75" customHeight="1">
      <c r="A101" s="57" t="s">
        <v>114</v>
      </c>
      <c r="B101" s="32" t="s">
        <v>17</v>
      </c>
      <c r="C101" s="33">
        <v>8.0</v>
      </c>
      <c r="D101" s="33"/>
      <c r="E101" s="33">
        <v>8.0</v>
      </c>
      <c r="F101" s="33"/>
      <c r="G101" s="35"/>
      <c r="H101" s="36"/>
      <c r="I101" s="33">
        <v>8.0</v>
      </c>
      <c r="J101" s="33"/>
      <c r="K101" s="33">
        <v>8.0</v>
      </c>
      <c r="L101" s="33"/>
      <c r="M101" s="33">
        <v>8.0</v>
      </c>
      <c r="N101" s="33"/>
      <c r="O101" s="37">
        <f t="shared" si="1"/>
        <v>40</v>
      </c>
      <c r="P101" s="37">
        <f t="shared" si="4"/>
        <v>0</v>
      </c>
      <c r="Q101" s="37">
        <f t="shared" si="3"/>
        <v>0</v>
      </c>
      <c r="R101" s="48"/>
      <c r="S101" s="40"/>
      <c r="T101" s="40"/>
      <c r="U101" s="40"/>
      <c r="V101" s="40"/>
      <c r="W101" s="40"/>
      <c r="X101" s="40"/>
      <c r="Y101" s="40"/>
      <c r="Z101" s="40"/>
      <c r="AA101" s="40"/>
    </row>
    <row r="102" ht="12.75" customHeight="1">
      <c r="A102" s="58" t="s">
        <v>115</v>
      </c>
      <c r="B102" s="43" t="s">
        <v>24</v>
      </c>
      <c r="C102" s="33">
        <v>8.0</v>
      </c>
      <c r="D102" s="33"/>
      <c r="E102" s="33">
        <v>8.0</v>
      </c>
      <c r="F102" s="33"/>
      <c r="G102" s="35"/>
      <c r="H102" s="36"/>
      <c r="I102" s="33">
        <v>8.0</v>
      </c>
      <c r="J102" s="33"/>
      <c r="K102" s="33">
        <v>8.0</v>
      </c>
      <c r="L102" s="33"/>
      <c r="M102" s="33">
        <v>8.0</v>
      </c>
      <c r="N102" s="33"/>
      <c r="O102" s="37">
        <f t="shared" si="1"/>
        <v>40</v>
      </c>
      <c r="P102" s="37">
        <f t="shared" si="4"/>
        <v>0</v>
      </c>
      <c r="Q102" s="37">
        <f t="shared" si="3"/>
        <v>0</v>
      </c>
      <c r="R102" s="48"/>
      <c r="S102" s="40"/>
      <c r="T102" s="40"/>
      <c r="U102" s="40"/>
      <c r="V102" s="40"/>
      <c r="W102" s="40"/>
      <c r="X102" s="40"/>
      <c r="Y102" s="40"/>
      <c r="Z102" s="40"/>
      <c r="AA102" s="40"/>
    </row>
    <row r="103" ht="12.75" customHeight="1">
      <c r="A103" s="57" t="s">
        <v>116</v>
      </c>
      <c r="B103" s="32" t="s">
        <v>17</v>
      </c>
      <c r="C103" s="33">
        <v>8.0</v>
      </c>
      <c r="D103" s="33"/>
      <c r="E103" s="33">
        <v>8.0</v>
      </c>
      <c r="F103" s="33"/>
      <c r="G103" s="35"/>
      <c r="H103" s="36"/>
      <c r="I103" s="33">
        <v>8.0</v>
      </c>
      <c r="J103" s="33"/>
      <c r="K103" s="33">
        <v>8.0</v>
      </c>
      <c r="L103" s="33"/>
      <c r="M103" s="33">
        <v>8.0</v>
      </c>
      <c r="N103" s="33"/>
      <c r="O103" s="37">
        <f t="shared" si="1"/>
        <v>40</v>
      </c>
      <c r="P103" s="37">
        <f t="shared" si="4"/>
        <v>0</v>
      </c>
      <c r="Q103" s="37">
        <f t="shared" si="3"/>
        <v>0</v>
      </c>
      <c r="R103" s="48"/>
      <c r="S103" s="40"/>
      <c r="T103" s="40"/>
      <c r="U103" s="40"/>
      <c r="V103" s="40"/>
      <c r="W103" s="40"/>
      <c r="X103" s="40"/>
      <c r="Y103" s="40"/>
      <c r="Z103" s="40"/>
      <c r="AA103" s="40"/>
    </row>
    <row r="104" ht="12.75" customHeight="1">
      <c r="A104" s="58" t="s">
        <v>117</v>
      </c>
      <c r="B104" s="43" t="s">
        <v>24</v>
      </c>
      <c r="C104" s="33">
        <v>8.0</v>
      </c>
      <c r="D104" s="33"/>
      <c r="E104" s="33">
        <v>8.0</v>
      </c>
      <c r="F104" s="34">
        <v>3.45</v>
      </c>
      <c r="G104" s="35"/>
      <c r="H104" s="36"/>
      <c r="I104" s="33">
        <v>0.0</v>
      </c>
      <c r="J104" s="33"/>
      <c r="K104" s="33">
        <v>0.0</v>
      </c>
      <c r="L104" s="33"/>
      <c r="M104" s="33">
        <v>0.0</v>
      </c>
      <c r="N104" s="33"/>
      <c r="O104" s="37">
        <f t="shared" si="1"/>
        <v>16</v>
      </c>
      <c r="P104" s="38">
        <f t="shared" si="4"/>
        <v>3.45</v>
      </c>
      <c r="Q104" s="37">
        <f t="shared" si="3"/>
        <v>0</v>
      </c>
      <c r="R104" s="48"/>
      <c r="S104" s="40"/>
      <c r="T104" s="40"/>
      <c r="U104" s="40"/>
      <c r="V104" s="40"/>
      <c r="W104" s="40"/>
      <c r="X104" s="40"/>
      <c r="Y104" s="40"/>
      <c r="Z104" s="40"/>
      <c r="AA104" s="40"/>
    </row>
    <row r="105" ht="12.75" customHeight="1">
      <c r="A105" s="59" t="s">
        <v>118</v>
      </c>
      <c r="B105" s="50"/>
      <c r="C105" s="60"/>
      <c r="D105" s="60"/>
      <c r="E105" s="61"/>
      <c r="F105" s="61"/>
      <c r="G105" s="62"/>
      <c r="H105" s="63"/>
      <c r="I105" s="64"/>
      <c r="J105" s="64"/>
      <c r="K105" s="64"/>
      <c r="L105" s="64"/>
      <c r="M105" s="65"/>
      <c r="N105" s="66"/>
      <c r="O105" s="67"/>
      <c r="P105" s="65"/>
      <c r="Q105" s="68"/>
    </row>
    <row r="106" ht="12.75" customHeight="1">
      <c r="A106" s="69"/>
      <c r="B106" s="50"/>
      <c r="C106" s="70"/>
      <c r="D106" s="60"/>
      <c r="E106" s="60"/>
      <c r="F106" s="61"/>
      <c r="G106" s="62"/>
      <c r="H106" s="63"/>
      <c r="I106" s="64"/>
      <c r="J106" s="64"/>
      <c r="K106" s="64"/>
      <c r="L106" s="64"/>
      <c r="M106" s="68"/>
      <c r="N106" s="66"/>
      <c r="O106" s="71"/>
      <c r="P106" s="68"/>
      <c r="Q106" s="68"/>
    </row>
    <row r="107" ht="12.75" customHeight="1">
      <c r="A107" s="69"/>
      <c r="B107" s="50"/>
      <c r="C107" s="70"/>
      <c r="D107" s="60"/>
      <c r="E107" s="61"/>
      <c r="F107" s="61"/>
      <c r="G107" s="62"/>
      <c r="H107" s="63"/>
      <c r="I107" s="64"/>
      <c r="J107" s="64"/>
      <c r="K107" s="64"/>
      <c r="L107" s="64"/>
      <c r="M107" s="68"/>
      <c r="N107" s="66"/>
      <c r="O107" s="71"/>
      <c r="P107" s="68"/>
      <c r="Q107" s="68"/>
    </row>
    <row r="108" ht="12.75" customHeight="1">
      <c r="A108" s="72"/>
      <c r="B108" s="50"/>
      <c r="C108" s="73"/>
      <c r="D108" s="74"/>
      <c r="E108" s="75"/>
      <c r="F108" s="75"/>
      <c r="G108" s="76"/>
      <c r="H108" s="77"/>
      <c r="I108" s="78"/>
      <c r="J108" s="78"/>
      <c r="K108" s="78"/>
      <c r="L108" s="78"/>
      <c r="M108" s="79"/>
      <c r="N108" s="80"/>
      <c r="O108" s="81"/>
      <c r="P108" s="79"/>
      <c r="Q108" s="79"/>
    </row>
    <row r="109" ht="12.75" customHeight="1">
      <c r="A109" s="82"/>
      <c r="B109" s="50"/>
      <c r="C109" s="83"/>
      <c r="D109" s="61"/>
      <c r="E109" s="84"/>
      <c r="F109" s="84"/>
      <c r="G109" s="62"/>
      <c r="H109" s="63"/>
      <c r="I109" s="64"/>
      <c r="J109" s="64"/>
      <c r="K109" s="64"/>
      <c r="L109" s="64"/>
      <c r="M109" s="68"/>
      <c r="N109" s="66"/>
      <c r="O109" s="71"/>
      <c r="P109" s="68"/>
      <c r="Q109" s="68"/>
    </row>
    <row r="110" ht="12.75" customHeight="1">
      <c r="A110" s="69"/>
      <c r="B110" s="50"/>
      <c r="C110" s="83"/>
      <c r="D110" s="84"/>
      <c r="E110" s="84"/>
      <c r="F110" s="84"/>
      <c r="G110" s="62"/>
      <c r="H110" s="63"/>
      <c r="I110" s="64"/>
      <c r="J110" s="64"/>
      <c r="K110" s="64"/>
      <c r="L110" s="64"/>
      <c r="M110" s="68"/>
      <c r="N110" s="66"/>
      <c r="O110" s="71"/>
      <c r="P110" s="68"/>
      <c r="Q110" s="68"/>
    </row>
    <row r="111" ht="12.75" customHeight="1">
      <c r="A111" s="69"/>
      <c r="B111" s="50"/>
      <c r="C111" s="64"/>
      <c r="D111" s="64"/>
      <c r="E111" s="64"/>
      <c r="F111" s="64"/>
      <c r="G111" s="62"/>
      <c r="H111" s="63"/>
      <c r="I111" s="64"/>
      <c r="J111" s="64"/>
      <c r="K111" s="64"/>
      <c r="L111" s="64"/>
      <c r="M111" s="68"/>
      <c r="N111" s="66"/>
      <c r="O111" s="85">
        <f t="shared" ref="O111:P111" si="5">SUM(O6:O110)</f>
        <v>3744</v>
      </c>
      <c r="P111" s="86">
        <f t="shared" si="5"/>
        <v>60.45</v>
      </c>
      <c r="Q111" s="68"/>
    </row>
    <row r="112" ht="12.75" customHeight="1">
      <c r="A112" s="69"/>
      <c r="B112" s="50"/>
      <c r="C112" s="64"/>
      <c r="D112" s="84"/>
      <c r="E112" s="84"/>
      <c r="F112" s="84"/>
      <c r="G112" s="62"/>
      <c r="H112" s="63"/>
      <c r="I112" s="64"/>
      <c r="J112" s="64"/>
      <c r="K112" s="64"/>
      <c r="L112" s="64"/>
      <c r="M112" s="68"/>
      <c r="N112" s="66"/>
      <c r="O112" s="71"/>
      <c r="P112" s="68"/>
      <c r="Q112" s="68"/>
    </row>
    <row r="113" ht="12.75" customHeight="1">
      <c r="A113" s="69"/>
      <c r="B113" s="50"/>
      <c r="C113" s="64"/>
      <c r="D113" s="64"/>
      <c r="E113" s="64"/>
      <c r="F113" s="64"/>
      <c r="G113" s="87"/>
      <c r="H113" s="63"/>
      <c r="I113" s="64"/>
      <c r="J113" s="64"/>
      <c r="K113" s="64"/>
      <c r="L113" s="64"/>
      <c r="M113" s="68"/>
      <c r="N113" s="66"/>
      <c r="O113" s="71"/>
      <c r="P113" s="68"/>
      <c r="Q113" s="68"/>
    </row>
    <row r="114" ht="12.75" customHeight="1">
      <c r="A114" s="69"/>
      <c r="B114" s="50"/>
      <c r="C114" s="64"/>
      <c r="D114" s="64"/>
      <c r="E114" s="64"/>
      <c r="F114" s="64"/>
      <c r="G114" s="87"/>
      <c r="H114" s="63"/>
      <c r="I114" s="64"/>
      <c r="J114" s="64"/>
      <c r="K114" s="64"/>
      <c r="L114" s="64"/>
      <c r="M114" s="68"/>
      <c r="N114" s="66"/>
      <c r="O114" s="71"/>
      <c r="P114" s="68"/>
      <c r="Q114" s="68"/>
    </row>
    <row r="115" ht="12.75" customHeight="1">
      <c r="A115" s="88"/>
      <c r="B115" s="50"/>
      <c r="C115" s="37"/>
      <c r="D115" s="68"/>
      <c r="E115" s="68"/>
      <c r="F115" s="68"/>
      <c r="G115" s="62"/>
      <c r="H115" s="62"/>
      <c r="I115" s="68"/>
      <c r="J115" s="68"/>
      <c r="K115" s="68"/>
      <c r="L115" s="68"/>
      <c r="M115" s="68"/>
      <c r="N115" s="66"/>
      <c r="O115" s="71"/>
      <c r="P115" s="68"/>
      <c r="Q115" s="68"/>
    </row>
    <row r="116" ht="12.75" customHeight="1">
      <c r="A116" s="89" t="s">
        <v>119</v>
      </c>
      <c r="B116" s="50"/>
      <c r="C116" s="37"/>
      <c r="D116" s="68"/>
      <c r="E116" s="68"/>
      <c r="F116" s="68"/>
      <c r="G116" s="62"/>
      <c r="H116" s="62"/>
      <c r="I116" s="68"/>
      <c r="J116" s="68"/>
      <c r="K116" s="68"/>
      <c r="L116" s="68"/>
      <c r="M116" s="68"/>
      <c r="N116" s="66"/>
      <c r="O116" s="71"/>
      <c r="P116" s="68"/>
      <c r="Q116" s="68"/>
    </row>
    <row r="117" ht="12.75" customHeight="1">
      <c r="A117" s="18"/>
      <c r="B117" s="50"/>
      <c r="C117" s="37"/>
      <c r="D117" s="68"/>
      <c r="E117" s="68"/>
      <c r="F117" s="68"/>
      <c r="G117" s="62"/>
      <c r="H117" s="62"/>
      <c r="I117" s="68"/>
      <c r="J117" s="68"/>
      <c r="K117" s="68"/>
      <c r="L117" s="68"/>
      <c r="M117" s="68"/>
      <c r="N117" s="66"/>
      <c r="O117" s="71"/>
      <c r="P117" s="68"/>
      <c r="Q117" s="68"/>
    </row>
    <row r="118" ht="12.75" customHeight="1">
      <c r="A118" s="18"/>
      <c r="B118" s="50"/>
      <c r="C118" s="37"/>
      <c r="D118" s="68"/>
      <c r="E118" s="68"/>
      <c r="F118" s="68"/>
      <c r="G118" s="62"/>
      <c r="H118" s="62"/>
      <c r="I118" s="68"/>
      <c r="J118" s="68"/>
      <c r="K118" s="68"/>
      <c r="L118" s="68"/>
      <c r="M118" s="68"/>
      <c r="N118" s="66"/>
      <c r="O118" s="71"/>
      <c r="P118" s="68"/>
      <c r="Q118" s="68"/>
    </row>
    <row r="119" ht="12.75" customHeight="1">
      <c r="A119" s="90"/>
      <c r="B119" s="50"/>
      <c r="C119" s="91"/>
      <c r="G119" s="92"/>
      <c r="H119" s="93"/>
    </row>
    <row r="120" ht="15.0" customHeight="1">
      <c r="A120" s="94" t="s">
        <v>120</v>
      </c>
      <c r="B120" s="50"/>
      <c r="C120" s="91"/>
      <c r="G120" s="92"/>
      <c r="H120" s="93"/>
    </row>
    <row r="121" ht="12.75" customHeight="1">
      <c r="A121" s="31" t="s">
        <v>121</v>
      </c>
      <c r="B121" s="50"/>
      <c r="C121" s="91"/>
      <c r="G121" s="92"/>
      <c r="H121" s="93"/>
    </row>
    <row r="122" ht="12.75" customHeight="1">
      <c r="A122" s="90" t="s">
        <v>122</v>
      </c>
      <c r="B122" s="50"/>
      <c r="C122" s="91"/>
      <c r="G122" s="92"/>
      <c r="H122" s="93"/>
    </row>
    <row r="123" ht="12.75" customHeight="1">
      <c r="A123" s="90"/>
      <c r="B123" s="50"/>
      <c r="C123" s="91"/>
      <c r="G123" s="95"/>
      <c r="H123" s="93"/>
    </row>
    <row r="124" ht="12.75" customHeight="1">
      <c r="A124" s="90"/>
      <c r="B124" s="50"/>
      <c r="C124" s="91"/>
      <c r="G124" s="92"/>
      <c r="H124" s="93"/>
    </row>
    <row r="125" ht="12.75" customHeight="1">
      <c r="A125" s="90"/>
      <c r="B125" s="50"/>
      <c r="C125" s="91"/>
      <c r="G125" s="92"/>
      <c r="H125" s="93"/>
    </row>
    <row r="126" ht="12.75" customHeight="1">
      <c r="A126" s="90"/>
      <c r="B126" s="50"/>
      <c r="C126" s="91"/>
      <c r="G126" s="92"/>
      <c r="H126" s="93"/>
    </row>
    <row r="127" ht="12.75" customHeight="1">
      <c r="A127" s="90"/>
      <c r="B127" s="50"/>
      <c r="C127" s="91"/>
      <c r="G127" s="92"/>
      <c r="H127" s="93"/>
    </row>
    <row r="128" ht="12.75" customHeight="1">
      <c r="A128" s="90"/>
      <c r="B128" s="50"/>
      <c r="C128" s="91"/>
      <c r="G128" s="92"/>
      <c r="H128" s="93"/>
    </row>
    <row r="129" ht="12.75" customHeight="1">
      <c r="A129" s="90"/>
      <c r="B129" s="50"/>
      <c r="C129" s="91"/>
      <c r="G129" s="92"/>
      <c r="H129" s="93"/>
    </row>
    <row r="130" ht="12.75" customHeight="1">
      <c r="A130" s="90"/>
      <c r="B130" s="50"/>
      <c r="C130" s="91"/>
      <c r="G130" s="92"/>
      <c r="H130" s="93"/>
    </row>
    <row r="131" ht="12.75" customHeight="1">
      <c r="A131" s="90"/>
      <c r="B131" s="50"/>
      <c r="C131" s="91"/>
      <c r="G131" s="92"/>
      <c r="H131" s="93"/>
    </row>
    <row r="132" ht="12.75" customHeight="1">
      <c r="A132" s="90"/>
      <c r="B132" s="50"/>
      <c r="C132" s="91"/>
      <c r="G132" s="92"/>
      <c r="H132" s="93"/>
    </row>
    <row r="133" ht="12.75" customHeight="1">
      <c r="A133" s="90"/>
      <c r="B133" s="50"/>
      <c r="C133" s="91"/>
      <c r="G133" s="92"/>
      <c r="H133" s="93"/>
    </row>
    <row r="134" ht="12.75" customHeight="1">
      <c r="A134" s="90"/>
      <c r="B134" s="50"/>
      <c r="C134" s="91"/>
      <c r="G134" s="92"/>
      <c r="H134" s="93"/>
    </row>
    <row r="135" ht="12.75" customHeight="1">
      <c r="A135" s="90"/>
      <c r="B135" s="50"/>
      <c r="C135" s="91"/>
      <c r="G135" s="92"/>
      <c r="H135" s="93"/>
    </row>
    <row r="136" ht="12.75" customHeight="1">
      <c r="A136" s="90"/>
      <c r="B136" s="50"/>
      <c r="C136" s="91"/>
      <c r="G136" s="92"/>
      <c r="H136" s="93"/>
    </row>
    <row r="137" ht="12.75" customHeight="1">
      <c r="A137" s="90"/>
      <c r="B137" s="50"/>
      <c r="C137" s="91"/>
      <c r="G137" s="92"/>
      <c r="H137" s="93"/>
    </row>
    <row r="138" ht="12.75" customHeight="1">
      <c r="A138" s="90"/>
      <c r="B138" s="50"/>
      <c r="C138" s="91"/>
      <c r="G138" s="92"/>
      <c r="H138" s="93"/>
    </row>
    <row r="139" ht="12.75" customHeight="1">
      <c r="A139" s="90"/>
      <c r="B139" s="50"/>
      <c r="C139" s="91"/>
      <c r="G139" s="92"/>
      <c r="H139" s="93"/>
    </row>
    <row r="140" ht="12.75" customHeight="1">
      <c r="A140" s="90"/>
      <c r="B140" s="50"/>
      <c r="C140" s="91"/>
      <c r="G140" s="92"/>
      <c r="H140" s="93"/>
    </row>
    <row r="141" ht="12.75" customHeight="1">
      <c r="A141" s="90"/>
      <c r="B141" s="50"/>
      <c r="C141" s="91"/>
      <c r="G141" s="92"/>
      <c r="H141" s="93"/>
    </row>
    <row r="142" ht="12.75" customHeight="1">
      <c r="A142" s="90"/>
      <c r="B142" s="50"/>
      <c r="C142" s="91"/>
      <c r="G142" s="92"/>
      <c r="H142" s="93"/>
    </row>
    <row r="143" ht="12.75" customHeight="1">
      <c r="A143" s="90"/>
      <c r="B143" s="50"/>
      <c r="C143" s="91"/>
      <c r="G143" s="92"/>
      <c r="H143" s="93"/>
    </row>
    <row r="144" ht="12.75" customHeight="1">
      <c r="A144" s="90"/>
      <c r="B144" s="50"/>
      <c r="C144" s="91"/>
      <c r="G144" s="92"/>
      <c r="H144" s="93"/>
    </row>
    <row r="145" ht="12.75" customHeight="1">
      <c r="A145" s="90"/>
      <c r="B145" s="50"/>
      <c r="C145" s="91"/>
      <c r="G145" s="92"/>
      <c r="H145" s="93"/>
    </row>
    <row r="146" ht="12.75" customHeight="1">
      <c r="A146" s="90"/>
      <c r="B146" s="50"/>
      <c r="C146" s="91"/>
      <c r="G146" s="92"/>
      <c r="H146" s="93"/>
    </row>
    <row r="147" ht="12.75" customHeight="1">
      <c r="A147" s="90"/>
      <c r="B147" s="50"/>
      <c r="C147" s="91"/>
      <c r="G147" s="92"/>
      <c r="H147" s="93"/>
    </row>
    <row r="148" ht="12.75" customHeight="1">
      <c r="A148" s="90"/>
      <c r="B148" s="50"/>
      <c r="C148" s="91"/>
      <c r="G148" s="92"/>
      <c r="H148" s="93"/>
    </row>
    <row r="149" ht="12.75" customHeight="1">
      <c r="A149" s="90"/>
      <c r="B149" s="50"/>
      <c r="C149" s="91"/>
      <c r="G149" s="92"/>
      <c r="H149" s="93"/>
    </row>
    <row r="150" ht="12.75" customHeight="1">
      <c r="A150" s="90"/>
      <c r="B150" s="50"/>
      <c r="C150" s="91"/>
      <c r="G150" s="92"/>
      <c r="H150" s="93"/>
    </row>
    <row r="151" ht="12.75" customHeight="1">
      <c r="A151" s="90"/>
      <c r="B151" s="50"/>
      <c r="C151" s="91"/>
      <c r="G151" s="92"/>
      <c r="H151" s="93"/>
    </row>
    <row r="152" ht="12.75" customHeight="1">
      <c r="A152" s="90"/>
      <c r="B152" s="50"/>
      <c r="C152" s="91"/>
      <c r="G152" s="92"/>
      <c r="H152" s="93"/>
    </row>
    <row r="153" ht="12.75" customHeight="1">
      <c r="A153" s="90"/>
      <c r="B153" s="50"/>
      <c r="C153" s="91"/>
      <c r="G153" s="92"/>
      <c r="H153" s="93"/>
    </row>
    <row r="154" ht="12.75" customHeight="1">
      <c r="A154" s="90"/>
      <c r="B154" s="50"/>
      <c r="C154" s="91"/>
      <c r="G154" s="92"/>
      <c r="H154" s="93"/>
    </row>
    <row r="155" ht="12.75" customHeight="1">
      <c r="A155" s="90"/>
      <c r="B155" s="50"/>
      <c r="C155" s="91"/>
      <c r="G155" s="92"/>
      <c r="H155" s="93"/>
    </row>
    <row r="156" ht="12.75" customHeight="1">
      <c r="A156" s="90"/>
      <c r="B156" s="50"/>
      <c r="C156" s="91"/>
      <c r="G156" s="92"/>
      <c r="H156" s="93"/>
    </row>
    <row r="157" ht="12.75" customHeight="1">
      <c r="A157" s="90"/>
      <c r="B157" s="50"/>
      <c r="C157" s="91"/>
      <c r="G157" s="92"/>
      <c r="H157" s="93"/>
    </row>
    <row r="158" ht="12.75" customHeight="1">
      <c r="A158" s="90"/>
      <c r="B158" s="50"/>
      <c r="C158" s="91"/>
      <c r="G158" s="92"/>
      <c r="H158" s="93"/>
    </row>
    <row r="159" ht="12.75" customHeight="1">
      <c r="A159" s="90"/>
      <c r="B159" s="50"/>
      <c r="C159" s="91"/>
      <c r="G159" s="92"/>
      <c r="H159" s="93"/>
    </row>
    <row r="160" ht="12.75" customHeight="1">
      <c r="A160" s="90"/>
      <c r="B160" s="50"/>
      <c r="C160" s="91"/>
      <c r="G160" s="92"/>
      <c r="H160" s="93"/>
    </row>
    <row r="161" ht="12.75" customHeight="1">
      <c r="A161" s="90"/>
      <c r="B161" s="50"/>
      <c r="C161" s="91"/>
      <c r="G161" s="92"/>
      <c r="H161" s="93"/>
    </row>
    <row r="162" ht="12.75" customHeight="1">
      <c r="A162" s="90"/>
      <c r="B162" s="50"/>
      <c r="C162" s="91"/>
      <c r="G162" s="92"/>
      <c r="H162" s="93"/>
    </row>
    <row r="163" ht="12.75" customHeight="1">
      <c r="A163" s="90"/>
      <c r="B163" s="50"/>
      <c r="C163" s="91"/>
      <c r="G163" s="92"/>
      <c r="H163" s="93"/>
    </row>
    <row r="164" ht="12.75" customHeight="1">
      <c r="A164" s="90"/>
      <c r="B164" s="50"/>
      <c r="C164" s="91"/>
      <c r="G164" s="92"/>
      <c r="H164" s="93"/>
    </row>
    <row r="165" ht="12.75" customHeight="1">
      <c r="A165" s="90"/>
      <c r="B165" s="50"/>
      <c r="C165" s="91"/>
      <c r="G165" s="92"/>
      <c r="H165" s="93"/>
    </row>
    <row r="166" ht="12.75" customHeight="1">
      <c r="A166" s="90"/>
      <c r="B166" s="50"/>
      <c r="C166" s="91"/>
      <c r="G166" s="92"/>
      <c r="H166" s="93"/>
    </row>
    <row r="167" ht="12.75" customHeight="1">
      <c r="A167" s="90"/>
      <c r="B167" s="50"/>
      <c r="C167" s="91"/>
      <c r="G167" s="92"/>
      <c r="H167" s="93"/>
    </row>
    <row r="168" ht="12.75" customHeight="1">
      <c r="A168" s="90"/>
      <c r="B168" s="50"/>
      <c r="C168" s="91"/>
      <c r="G168" s="92"/>
      <c r="H168" s="93"/>
    </row>
    <row r="169" ht="12.75" customHeight="1">
      <c r="A169" s="90"/>
      <c r="B169" s="50"/>
      <c r="C169" s="91"/>
      <c r="G169" s="92"/>
      <c r="H169" s="93"/>
    </row>
    <row r="170" ht="12.75" customHeight="1">
      <c r="A170" s="90"/>
      <c r="B170" s="50"/>
      <c r="C170" s="91"/>
      <c r="G170" s="92"/>
      <c r="H170" s="93"/>
    </row>
    <row r="171" ht="12.75" customHeight="1">
      <c r="A171" s="90"/>
      <c r="B171" s="50"/>
      <c r="C171" s="91"/>
      <c r="G171" s="92"/>
      <c r="H171" s="93"/>
    </row>
    <row r="172" ht="12.75" customHeight="1">
      <c r="A172" s="90"/>
      <c r="B172" s="50"/>
      <c r="C172" s="91"/>
      <c r="G172" s="92"/>
      <c r="H172" s="93"/>
    </row>
    <row r="173" ht="12.75" customHeight="1">
      <c r="A173" s="90"/>
      <c r="B173" s="50"/>
      <c r="C173" s="91"/>
      <c r="G173" s="92"/>
      <c r="H173" s="93"/>
    </row>
    <row r="174" ht="12.75" customHeight="1">
      <c r="A174" s="90"/>
      <c r="B174" s="50"/>
      <c r="C174" s="91"/>
      <c r="G174" s="92"/>
      <c r="H174" s="93"/>
    </row>
    <row r="175" ht="12.75" customHeight="1">
      <c r="A175" s="90"/>
      <c r="B175" s="50"/>
      <c r="C175" s="91"/>
      <c r="G175" s="92"/>
      <c r="H175" s="93"/>
    </row>
    <row r="176" ht="12.75" customHeight="1">
      <c r="A176" s="90"/>
      <c r="B176" s="50"/>
      <c r="C176" s="91"/>
      <c r="G176" s="92"/>
      <c r="H176" s="93"/>
    </row>
    <row r="177" ht="12.75" customHeight="1">
      <c r="A177" s="90"/>
      <c r="B177" s="50"/>
      <c r="C177" s="91"/>
      <c r="G177" s="92"/>
      <c r="H177" s="93"/>
    </row>
    <row r="178" ht="12.75" customHeight="1">
      <c r="A178" s="90"/>
      <c r="B178" s="50"/>
      <c r="C178" s="91"/>
      <c r="G178" s="92"/>
      <c r="H178" s="93"/>
    </row>
    <row r="179" ht="12.75" customHeight="1">
      <c r="A179" s="90"/>
      <c r="B179" s="50"/>
      <c r="C179" s="91"/>
      <c r="G179" s="92"/>
      <c r="H179" s="93"/>
    </row>
    <row r="180" ht="12.75" customHeight="1">
      <c r="A180" s="90"/>
      <c r="B180" s="50"/>
      <c r="C180" s="91"/>
      <c r="G180" s="92"/>
      <c r="H180" s="93"/>
    </row>
    <row r="181" ht="12.75" customHeight="1">
      <c r="A181" s="90"/>
      <c r="B181" s="50"/>
      <c r="C181" s="91"/>
      <c r="G181" s="92"/>
      <c r="H181" s="93"/>
    </row>
    <row r="182" ht="12.75" customHeight="1">
      <c r="A182" s="90"/>
      <c r="B182" s="50"/>
      <c r="C182" s="91"/>
      <c r="G182" s="92"/>
      <c r="H182" s="93"/>
    </row>
    <row r="183" ht="12.75" customHeight="1">
      <c r="A183" s="90"/>
      <c r="B183" s="50"/>
      <c r="C183" s="91"/>
      <c r="G183" s="92"/>
      <c r="H183" s="93"/>
    </row>
    <row r="184" ht="12.75" customHeight="1">
      <c r="A184" s="90"/>
      <c r="B184" s="50"/>
      <c r="C184" s="91"/>
      <c r="G184" s="92"/>
      <c r="H184" s="93"/>
    </row>
    <row r="185" ht="12.75" customHeight="1">
      <c r="A185" s="90"/>
      <c r="B185" s="50"/>
      <c r="C185" s="91"/>
      <c r="G185" s="92"/>
      <c r="H185" s="93"/>
    </row>
    <row r="186" ht="12.75" customHeight="1">
      <c r="A186" s="90"/>
      <c r="B186" s="50"/>
      <c r="C186" s="91"/>
      <c r="G186" s="92"/>
      <c r="H186" s="93"/>
    </row>
    <row r="187" ht="12.75" customHeight="1">
      <c r="A187" s="90"/>
      <c r="B187" s="50"/>
      <c r="C187" s="91"/>
      <c r="G187" s="92"/>
      <c r="H187" s="93"/>
    </row>
    <row r="188" ht="12.75" customHeight="1">
      <c r="A188" s="90"/>
      <c r="B188" s="50"/>
      <c r="C188" s="91"/>
      <c r="G188" s="92"/>
      <c r="H188" s="93"/>
    </row>
    <row r="189" ht="12.75" customHeight="1">
      <c r="A189" s="90"/>
      <c r="B189" s="50"/>
      <c r="C189" s="91"/>
      <c r="G189" s="92"/>
      <c r="H189" s="93"/>
    </row>
    <row r="190" ht="12.75" customHeight="1">
      <c r="A190" s="90"/>
      <c r="B190" s="50"/>
      <c r="C190" s="91"/>
      <c r="G190" s="92"/>
      <c r="H190" s="93"/>
    </row>
    <row r="191" ht="12.75" customHeight="1">
      <c r="A191" s="90"/>
      <c r="B191" s="50"/>
      <c r="C191" s="91"/>
      <c r="G191" s="92"/>
      <c r="H191" s="93"/>
    </row>
    <row r="192" ht="12.75" customHeight="1">
      <c r="A192" s="90"/>
      <c r="B192" s="50"/>
      <c r="C192" s="91"/>
      <c r="G192" s="92"/>
      <c r="H192" s="93"/>
    </row>
    <row r="193" ht="12.75" customHeight="1">
      <c r="A193" s="90"/>
      <c r="B193" s="50"/>
      <c r="C193" s="91"/>
      <c r="G193" s="92"/>
      <c r="H193" s="93"/>
    </row>
    <row r="194" ht="12.75" customHeight="1">
      <c r="A194" s="90"/>
      <c r="B194" s="50"/>
      <c r="C194" s="91"/>
      <c r="G194" s="92"/>
      <c r="H194" s="93"/>
    </row>
    <row r="195" ht="12.75" customHeight="1">
      <c r="A195" s="90"/>
      <c r="B195" s="50"/>
      <c r="C195" s="91"/>
      <c r="G195" s="92"/>
      <c r="H195" s="93"/>
    </row>
    <row r="196" ht="12.75" customHeight="1">
      <c r="A196" s="90"/>
      <c r="B196" s="50"/>
      <c r="C196" s="91"/>
      <c r="G196" s="92"/>
      <c r="H196" s="93"/>
    </row>
    <row r="197" ht="12.75" customHeight="1">
      <c r="A197" s="90"/>
      <c r="B197" s="50"/>
      <c r="C197" s="91"/>
      <c r="G197" s="92"/>
      <c r="H197" s="93"/>
    </row>
    <row r="198" ht="12.75" customHeight="1">
      <c r="A198" s="90"/>
      <c r="B198" s="50"/>
      <c r="C198" s="91"/>
      <c r="G198" s="92"/>
      <c r="H198" s="93"/>
    </row>
    <row r="199" ht="12.75" customHeight="1">
      <c r="A199" s="90"/>
      <c r="B199" s="50"/>
      <c r="C199" s="91"/>
      <c r="G199" s="92"/>
      <c r="H199" s="93"/>
    </row>
    <row r="200" ht="12.75" customHeight="1">
      <c r="A200" s="90"/>
      <c r="B200" s="50"/>
      <c r="C200" s="91"/>
      <c r="G200" s="92"/>
      <c r="H200" s="93"/>
    </row>
    <row r="201" ht="12.75" customHeight="1">
      <c r="A201" s="90"/>
      <c r="B201" s="50"/>
      <c r="C201" s="91"/>
      <c r="G201" s="92"/>
      <c r="H201" s="93"/>
    </row>
    <row r="202" ht="12.75" customHeight="1">
      <c r="A202" s="90"/>
      <c r="B202" s="50"/>
      <c r="C202" s="91"/>
      <c r="G202" s="92"/>
      <c r="H202" s="93"/>
    </row>
    <row r="203" ht="12.75" customHeight="1">
      <c r="A203" s="90"/>
      <c r="B203" s="50"/>
      <c r="C203" s="91"/>
      <c r="G203" s="92"/>
      <c r="H203" s="93"/>
    </row>
    <row r="204" ht="12.75" customHeight="1">
      <c r="A204" s="90"/>
      <c r="B204" s="50"/>
      <c r="C204" s="91"/>
      <c r="G204" s="92"/>
      <c r="H204" s="93"/>
    </row>
    <row r="205" ht="12.75" customHeight="1">
      <c r="A205" s="90"/>
      <c r="B205" s="50"/>
      <c r="C205" s="91"/>
      <c r="G205" s="92"/>
      <c r="H205" s="93"/>
    </row>
    <row r="206" ht="12.75" customHeight="1">
      <c r="A206" s="90"/>
      <c r="B206" s="50"/>
      <c r="C206" s="91"/>
      <c r="G206" s="92"/>
      <c r="H206" s="93"/>
    </row>
    <row r="207" ht="12.75" customHeight="1">
      <c r="A207" s="90"/>
      <c r="B207" s="50"/>
      <c r="C207" s="91"/>
      <c r="G207" s="92"/>
      <c r="H207" s="93"/>
    </row>
    <row r="208" ht="12.75" customHeight="1">
      <c r="A208" s="90"/>
      <c r="B208" s="50"/>
      <c r="C208" s="91"/>
      <c r="G208" s="92"/>
      <c r="H208" s="93"/>
    </row>
    <row r="209" ht="12.75" customHeight="1">
      <c r="A209" s="90"/>
      <c r="B209" s="50"/>
      <c r="C209" s="91"/>
      <c r="G209" s="92"/>
      <c r="H209" s="93"/>
    </row>
    <row r="210" ht="12.75" customHeight="1">
      <c r="A210" s="90"/>
      <c r="B210" s="50"/>
      <c r="C210" s="91"/>
      <c r="G210" s="92"/>
      <c r="H210" s="93"/>
    </row>
    <row r="211" ht="12.75" customHeight="1">
      <c r="A211" s="90"/>
      <c r="B211" s="50"/>
      <c r="C211" s="91"/>
      <c r="G211" s="92"/>
      <c r="H211" s="93"/>
    </row>
    <row r="212" ht="12.75" customHeight="1">
      <c r="A212" s="90"/>
      <c r="B212" s="50"/>
      <c r="C212" s="91"/>
      <c r="G212" s="92"/>
      <c r="H212" s="93"/>
    </row>
    <row r="213" ht="12.75" customHeight="1">
      <c r="A213" s="90"/>
      <c r="B213" s="50"/>
      <c r="C213" s="91"/>
      <c r="G213" s="92"/>
      <c r="H213" s="93"/>
    </row>
    <row r="214" ht="12.75" customHeight="1">
      <c r="A214" s="90"/>
      <c r="B214" s="50"/>
      <c r="C214" s="91"/>
      <c r="G214" s="92"/>
      <c r="H214" s="93"/>
    </row>
    <row r="215" ht="12.75" customHeight="1">
      <c r="A215" s="90"/>
      <c r="B215" s="50"/>
      <c r="C215" s="91"/>
      <c r="G215" s="92"/>
      <c r="H215" s="93"/>
    </row>
    <row r="216" ht="12.75" customHeight="1">
      <c r="A216" s="90"/>
      <c r="B216" s="50"/>
      <c r="C216" s="91"/>
      <c r="G216" s="92"/>
      <c r="H216" s="93"/>
    </row>
    <row r="217" ht="12.75" customHeight="1">
      <c r="A217" s="90"/>
      <c r="B217" s="50"/>
      <c r="C217" s="91"/>
      <c r="G217" s="92"/>
      <c r="H217" s="93"/>
    </row>
    <row r="218" ht="12.75" customHeight="1">
      <c r="A218" s="90"/>
      <c r="B218" s="50"/>
      <c r="C218" s="91"/>
      <c r="G218" s="92"/>
      <c r="H218" s="93"/>
    </row>
    <row r="219" ht="12.75" customHeight="1">
      <c r="A219" s="90"/>
      <c r="B219" s="50"/>
      <c r="C219" s="91"/>
      <c r="G219" s="92"/>
      <c r="H219" s="93"/>
    </row>
    <row r="220" ht="12.75" customHeight="1">
      <c r="A220" s="90"/>
      <c r="B220" s="50"/>
      <c r="C220" s="91"/>
      <c r="G220" s="92"/>
      <c r="H220" s="93"/>
    </row>
    <row r="221" ht="12.75" customHeight="1">
      <c r="A221" s="90"/>
      <c r="B221" s="50"/>
      <c r="C221" s="91"/>
      <c r="G221" s="92"/>
      <c r="H221" s="93"/>
    </row>
    <row r="222" ht="12.75" customHeight="1">
      <c r="A222" s="90"/>
      <c r="B222" s="50"/>
      <c r="C222" s="91"/>
      <c r="G222" s="92"/>
      <c r="H222" s="93"/>
    </row>
    <row r="223" ht="12.75" customHeight="1">
      <c r="A223" s="90"/>
      <c r="B223" s="50"/>
      <c r="C223" s="91"/>
      <c r="G223" s="92"/>
      <c r="H223" s="93"/>
    </row>
    <row r="224" ht="12.75" customHeight="1">
      <c r="A224" s="90"/>
      <c r="B224" s="50"/>
      <c r="C224" s="91"/>
      <c r="G224" s="92"/>
      <c r="H224" s="93"/>
    </row>
    <row r="225" ht="12.75" customHeight="1">
      <c r="A225" s="90"/>
      <c r="B225" s="50"/>
      <c r="C225" s="91"/>
      <c r="G225" s="92"/>
      <c r="H225" s="93"/>
    </row>
    <row r="226" ht="12.75" customHeight="1">
      <c r="A226" s="90"/>
      <c r="B226" s="50"/>
      <c r="C226" s="91"/>
      <c r="G226" s="92"/>
      <c r="H226" s="93"/>
    </row>
    <row r="227" ht="12.75" customHeight="1">
      <c r="A227" s="90"/>
      <c r="B227" s="50"/>
      <c r="C227" s="91"/>
      <c r="G227" s="92"/>
      <c r="H227" s="93"/>
    </row>
    <row r="228" ht="12.75" customHeight="1">
      <c r="A228" s="90"/>
      <c r="B228" s="50"/>
      <c r="C228" s="91"/>
      <c r="G228" s="92"/>
      <c r="H228" s="93"/>
    </row>
    <row r="229" ht="12.75" customHeight="1">
      <c r="A229" s="90"/>
      <c r="B229" s="50"/>
      <c r="C229" s="91"/>
      <c r="G229" s="92"/>
      <c r="H229" s="93"/>
    </row>
    <row r="230" ht="12.75" customHeight="1">
      <c r="A230" s="90"/>
      <c r="B230" s="50"/>
      <c r="C230" s="91"/>
      <c r="G230" s="92"/>
      <c r="H230" s="93"/>
    </row>
    <row r="231" ht="12.75" customHeight="1">
      <c r="A231" s="90"/>
      <c r="B231" s="50"/>
      <c r="C231" s="91"/>
      <c r="G231" s="92"/>
      <c r="H231" s="93"/>
    </row>
    <row r="232" ht="12.75" customHeight="1">
      <c r="A232" s="90"/>
      <c r="B232" s="50"/>
      <c r="C232" s="91"/>
      <c r="G232" s="92"/>
      <c r="H232" s="93"/>
    </row>
    <row r="233" ht="12.75" customHeight="1">
      <c r="A233" s="90"/>
      <c r="B233" s="50"/>
      <c r="C233" s="91"/>
      <c r="G233" s="92"/>
      <c r="H233" s="93"/>
    </row>
    <row r="234" ht="12.75" customHeight="1">
      <c r="A234" s="90"/>
      <c r="B234" s="50"/>
      <c r="C234" s="91"/>
      <c r="G234" s="92"/>
      <c r="H234" s="93"/>
    </row>
    <row r="235" ht="12.75" customHeight="1">
      <c r="A235" s="90"/>
      <c r="B235" s="50"/>
      <c r="C235" s="91"/>
      <c r="G235" s="92"/>
      <c r="H235" s="93"/>
    </row>
    <row r="236" ht="12.75" customHeight="1">
      <c r="A236" s="90"/>
      <c r="B236" s="50"/>
      <c r="C236" s="91"/>
      <c r="G236" s="92"/>
      <c r="H236" s="93"/>
    </row>
    <row r="237" ht="12.75" customHeight="1">
      <c r="A237" s="90"/>
      <c r="B237" s="50"/>
      <c r="C237" s="91"/>
      <c r="G237" s="92"/>
      <c r="H237" s="93"/>
    </row>
    <row r="238" ht="12.75" customHeight="1">
      <c r="A238" s="90"/>
      <c r="B238" s="50"/>
      <c r="C238" s="91"/>
      <c r="G238" s="92"/>
      <c r="H238" s="93"/>
    </row>
    <row r="239" ht="12.75" customHeight="1">
      <c r="A239" s="90"/>
      <c r="B239" s="50"/>
      <c r="C239" s="91"/>
      <c r="G239" s="92"/>
      <c r="H239" s="93"/>
    </row>
    <row r="240" ht="12.75" customHeight="1">
      <c r="A240" s="90"/>
      <c r="B240" s="50"/>
      <c r="C240" s="91"/>
      <c r="G240" s="92"/>
      <c r="H240" s="93"/>
    </row>
    <row r="241" ht="12.75" customHeight="1">
      <c r="A241" s="90"/>
      <c r="B241" s="50"/>
      <c r="C241" s="91"/>
      <c r="G241" s="92"/>
      <c r="H241" s="93"/>
    </row>
    <row r="242" ht="12.75" customHeight="1">
      <c r="A242" s="90"/>
      <c r="B242" s="50"/>
      <c r="C242" s="91"/>
      <c r="G242" s="92"/>
      <c r="H242" s="93"/>
    </row>
    <row r="243" ht="12.75" customHeight="1">
      <c r="A243" s="90"/>
      <c r="B243" s="50"/>
      <c r="C243" s="91"/>
      <c r="G243" s="92"/>
      <c r="H243" s="93"/>
    </row>
    <row r="244" ht="12.75" customHeight="1">
      <c r="A244" s="90"/>
      <c r="B244" s="50"/>
      <c r="C244" s="91"/>
      <c r="G244" s="92"/>
      <c r="H244" s="93"/>
    </row>
    <row r="245" ht="12.75" customHeight="1">
      <c r="A245" s="90"/>
      <c r="B245" s="50"/>
      <c r="C245" s="91"/>
      <c r="G245" s="92"/>
      <c r="H245" s="93"/>
    </row>
    <row r="246" ht="12.75" customHeight="1">
      <c r="A246" s="90"/>
      <c r="B246" s="50"/>
      <c r="C246" s="91"/>
      <c r="G246" s="92"/>
      <c r="H246" s="93"/>
    </row>
    <row r="247" ht="12.75" customHeight="1">
      <c r="A247" s="90"/>
      <c r="B247" s="50"/>
      <c r="C247" s="91"/>
      <c r="G247" s="92"/>
      <c r="H247" s="93"/>
    </row>
    <row r="248" ht="12.75" customHeight="1">
      <c r="A248" s="90"/>
      <c r="B248" s="50"/>
      <c r="C248" s="91"/>
      <c r="G248" s="92"/>
      <c r="H248" s="93"/>
    </row>
    <row r="249" ht="12.75" customHeight="1">
      <c r="A249" s="90"/>
      <c r="B249" s="50"/>
      <c r="C249" s="91"/>
      <c r="G249" s="92"/>
      <c r="H249" s="93"/>
    </row>
    <row r="250" ht="12.75" customHeight="1">
      <c r="A250" s="90"/>
      <c r="B250" s="50"/>
      <c r="C250" s="91"/>
      <c r="G250" s="92"/>
      <c r="H250" s="93"/>
    </row>
    <row r="251" ht="12.75" customHeight="1">
      <c r="A251" s="90"/>
      <c r="B251" s="50"/>
      <c r="C251" s="91"/>
      <c r="G251" s="92"/>
      <c r="H251" s="93"/>
    </row>
    <row r="252" ht="12.75" customHeight="1">
      <c r="A252" s="90"/>
      <c r="B252" s="50"/>
      <c r="C252" s="91"/>
      <c r="G252" s="92"/>
      <c r="H252" s="93"/>
    </row>
    <row r="253" ht="12.75" customHeight="1">
      <c r="A253" s="90"/>
      <c r="B253" s="50"/>
      <c r="C253" s="91"/>
      <c r="G253" s="92"/>
      <c r="H253" s="93"/>
    </row>
    <row r="254" ht="12.75" customHeight="1">
      <c r="A254" s="90"/>
      <c r="B254" s="50"/>
      <c r="C254" s="91"/>
      <c r="G254" s="92"/>
      <c r="H254" s="93"/>
    </row>
    <row r="255" ht="12.75" customHeight="1">
      <c r="A255" s="90"/>
      <c r="B255" s="50"/>
      <c r="C255" s="91"/>
      <c r="G255" s="92"/>
      <c r="H255" s="93"/>
    </row>
    <row r="256" ht="12.75" customHeight="1">
      <c r="A256" s="90"/>
      <c r="B256" s="50"/>
      <c r="C256" s="91"/>
      <c r="G256" s="92"/>
      <c r="H256" s="93"/>
    </row>
    <row r="257" ht="12.75" customHeight="1">
      <c r="A257" s="90"/>
      <c r="B257" s="50"/>
      <c r="C257" s="91"/>
      <c r="G257" s="92"/>
      <c r="H257" s="93"/>
    </row>
    <row r="258" ht="12.75" customHeight="1">
      <c r="A258" s="90"/>
      <c r="B258" s="50"/>
      <c r="C258" s="91"/>
      <c r="G258" s="92"/>
      <c r="H258" s="93"/>
    </row>
    <row r="259" ht="12.75" customHeight="1">
      <c r="A259" s="90"/>
      <c r="B259" s="50"/>
      <c r="C259" s="91"/>
      <c r="G259" s="92"/>
      <c r="H259" s="93"/>
    </row>
    <row r="260" ht="12.75" customHeight="1">
      <c r="A260" s="90"/>
      <c r="B260" s="50"/>
      <c r="C260" s="91"/>
      <c r="G260" s="92"/>
      <c r="H260" s="93"/>
    </row>
    <row r="261" ht="12.75" customHeight="1">
      <c r="A261" s="90"/>
      <c r="B261" s="50"/>
      <c r="C261" s="91"/>
      <c r="G261" s="92"/>
      <c r="H261" s="93"/>
    </row>
    <row r="262" ht="12.75" customHeight="1">
      <c r="A262" s="90"/>
      <c r="B262" s="50"/>
      <c r="C262" s="91"/>
      <c r="G262" s="92"/>
      <c r="H262" s="93"/>
    </row>
    <row r="263" ht="12.75" customHeight="1">
      <c r="A263" s="90"/>
      <c r="B263" s="50"/>
      <c r="C263" s="91"/>
      <c r="G263" s="92"/>
      <c r="H263" s="93"/>
    </row>
    <row r="264" ht="12.75" customHeight="1">
      <c r="A264" s="90"/>
      <c r="B264" s="50"/>
      <c r="C264" s="91"/>
      <c r="G264" s="92"/>
      <c r="H264" s="93"/>
    </row>
    <row r="265" ht="12.75" customHeight="1">
      <c r="A265" s="90"/>
      <c r="B265" s="50"/>
      <c r="C265" s="91"/>
      <c r="G265" s="92"/>
      <c r="H265" s="93"/>
    </row>
    <row r="266" ht="12.75" customHeight="1">
      <c r="A266" s="90"/>
      <c r="B266" s="50"/>
      <c r="C266" s="91"/>
      <c r="G266" s="92"/>
      <c r="H266" s="93"/>
    </row>
    <row r="267" ht="12.75" customHeight="1">
      <c r="A267" s="90"/>
      <c r="B267" s="50"/>
      <c r="C267" s="91"/>
      <c r="G267" s="92"/>
      <c r="H267" s="93"/>
    </row>
    <row r="268" ht="12.75" customHeight="1">
      <c r="A268" s="90"/>
      <c r="B268" s="50"/>
      <c r="C268" s="91"/>
      <c r="G268" s="92"/>
      <c r="H268" s="93"/>
    </row>
    <row r="269" ht="12.75" customHeight="1">
      <c r="A269" s="90"/>
      <c r="B269" s="50"/>
      <c r="C269" s="91"/>
      <c r="G269" s="92"/>
      <c r="H269" s="93"/>
    </row>
    <row r="270" ht="12.75" customHeight="1">
      <c r="A270" s="90"/>
      <c r="B270" s="50"/>
      <c r="C270" s="91"/>
      <c r="G270" s="92"/>
      <c r="H270" s="93"/>
    </row>
    <row r="271" ht="12.75" customHeight="1">
      <c r="A271" s="90"/>
      <c r="B271" s="50"/>
      <c r="C271" s="91"/>
      <c r="G271" s="92"/>
      <c r="H271" s="93"/>
    </row>
    <row r="272" ht="12.75" customHeight="1">
      <c r="A272" s="90"/>
      <c r="B272" s="50"/>
      <c r="C272" s="91"/>
      <c r="G272" s="92"/>
      <c r="H272" s="93"/>
    </row>
    <row r="273" ht="12.75" customHeight="1">
      <c r="A273" s="90"/>
      <c r="B273" s="50"/>
      <c r="C273" s="91"/>
      <c r="G273" s="92"/>
      <c r="H273" s="93"/>
    </row>
    <row r="274" ht="12.75" customHeight="1">
      <c r="A274" s="90"/>
      <c r="B274" s="50"/>
      <c r="C274" s="91"/>
      <c r="G274" s="92"/>
      <c r="H274" s="93"/>
    </row>
    <row r="275" ht="12.75" customHeight="1">
      <c r="A275" s="90"/>
      <c r="B275" s="50"/>
      <c r="C275" s="91"/>
      <c r="G275" s="92"/>
      <c r="H275" s="93"/>
    </row>
    <row r="276" ht="12.75" customHeight="1">
      <c r="A276" s="90"/>
      <c r="B276" s="50"/>
      <c r="C276" s="91"/>
      <c r="G276" s="92"/>
      <c r="H276" s="93"/>
    </row>
    <row r="277" ht="12.75" customHeight="1">
      <c r="A277" s="90"/>
      <c r="B277" s="50"/>
      <c r="C277" s="91"/>
      <c r="G277" s="92"/>
      <c r="H277" s="93"/>
    </row>
    <row r="278" ht="12.75" customHeight="1">
      <c r="A278" s="90"/>
      <c r="B278" s="50"/>
      <c r="C278" s="91"/>
      <c r="G278" s="92"/>
      <c r="H278" s="93"/>
    </row>
    <row r="279" ht="12.75" customHeight="1">
      <c r="A279" s="90"/>
      <c r="B279" s="50"/>
      <c r="C279" s="91"/>
      <c r="G279" s="92"/>
      <c r="H279" s="93"/>
    </row>
    <row r="280" ht="12.75" customHeight="1">
      <c r="A280" s="90"/>
      <c r="B280" s="50"/>
      <c r="C280" s="91"/>
      <c r="G280" s="92"/>
      <c r="H280" s="93"/>
    </row>
    <row r="281" ht="12.75" customHeight="1">
      <c r="A281" s="90"/>
      <c r="B281" s="50"/>
      <c r="C281" s="91"/>
      <c r="G281" s="92"/>
      <c r="H281" s="93"/>
    </row>
    <row r="282" ht="12.75" customHeight="1">
      <c r="A282" s="90"/>
      <c r="B282" s="50"/>
      <c r="C282" s="91"/>
      <c r="G282" s="92"/>
      <c r="H282" s="93"/>
    </row>
    <row r="283" ht="12.75" customHeight="1">
      <c r="A283" s="90"/>
      <c r="B283" s="50"/>
      <c r="C283" s="91"/>
      <c r="G283" s="92"/>
      <c r="H283" s="93"/>
    </row>
    <row r="284" ht="12.75" customHeight="1">
      <c r="A284" s="90"/>
      <c r="B284" s="50"/>
      <c r="C284" s="91"/>
      <c r="G284" s="92"/>
      <c r="H284" s="93"/>
    </row>
    <row r="285" ht="12.75" customHeight="1">
      <c r="A285" s="90"/>
      <c r="B285" s="50"/>
      <c r="C285" s="91"/>
      <c r="G285" s="92"/>
      <c r="H285" s="93"/>
    </row>
    <row r="286" ht="12.75" customHeight="1">
      <c r="A286" s="90"/>
      <c r="B286" s="50"/>
      <c r="C286" s="91"/>
      <c r="G286" s="92"/>
      <c r="H286" s="93"/>
    </row>
    <row r="287" ht="12.75" customHeight="1">
      <c r="A287" s="90"/>
      <c r="B287" s="50"/>
      <c r="C287" s="91"/>
      <c r="G287" s="92"/>
      <c r="H287" s="93"/>
    </row>
    <row r="288" ht="12.75" customHeight="1">
      <c r="A288" s="90"/>
      <c r="B288" s="50"/>
      <c r="C288" s="91"/>
      <c r="G288" s="92"/>
      <c r="H288" s="93"/>
    </row>
    <row r="289" ht="12.75" customHeight="1">
      <c r="A289" s="90"/>
      <c r="B289" s="50"/>
      <c r="C289" s="91"/>
      <c r="G289" s="92"/>
      <c r="H289" s="93"/>
    </row>
    <row r="290" ht="12.75" customHeight="1">
      <c r="A290" s="90"/>
      <c r="B290" s="50"/>
      <c r="C290" s="91"/>
      <c r="G290" s="92"/>
      <c r="H290" s="93"/>
    </row>
    <row r="291" ht="12.75" customHeight="1">
      <c r="A291" s="90"/>
      <c r="B291" s="50"/>
      <c r="C291" s="91"/>
      <c r="G291" s="92"/>
      <c r="H291" s="93"/>
    </row>
    <row r="292" ht="12.75" customHeight="1">
      <c r="A292" s="90"/>
      <c r="B292" s="50"/>
      <c r="C292" s="91"/>
      <c r="G292" s="92"/>
      <c r="H292" s="93"/>
    </row>
    <row r="293" ht="12.75" customHeight="1">
      <c r="A293" s="90"/>
      <c r="B293" s="50"/>
      <c r="C293" s="91"/>
      <c r="G293" s="92"/>
      <c r="H293" s="93"/>
    </row>
    <row r="294" ht="12.75" customHeight="1">
      <c r="A294" s="90"/>
      <c r="B294" s="50"/>
      <c r="C294" s="91"/>
      <c r="G294" s="92"/>
      <c r="H294" s="93"/>
    </row>
    <row r="295" ht="12.75" customHeight="1">
      <c r="A295" s="90"/>
      <c r="B295" s="50"/>
      <c r="C295" s="91"/>
      <c r="G295" s="92"/>
      <c r="H295" s="93"/>
    </row>
    <row r="296" ht="12.75" customHeight="1">
      <c r="A296" s="90"/>
      <c r="B296" s="50"/>
      <c r="C296" s="91"/>
      <c r="G296" s="92"/>
      <c r="H296" s="93"/>
    </row>
    <row r="297" ht="12.75" customHeight="1">
      <c r="A297" s="90"/>
      <c r="B297" s="50"/>
      <c r="C297" s="91"/>
      <c r="G297" s="92"/>
      <c r="H297" s="93"/>
    </row>
    <row r="298" ht="12.75" customHeight="1">
      <c r="A298" s="90"/>
      <c r="B298" s="50"/>
      <c r="C298" s="91"/>
      <c r="G298" s="92"/>
      <c r="H298" s="93"/>
    </row>
    <row r="299" ht="12.75" customHeight="1">
      <c r="A299" s="90"/>
      <c r="B299" s="50"/>
      <c r="C299" s="91"/>
      <c r="G299" s="92"/>
      <c r="H299" s="93"/>
    </row>
    <row r="300" ht="12.75" customHeight="1">
      <c r="A300" s="90"/>
      <c r="B300" s="50"/>
      <c r="C300" s="91"/>
      <c r="G300" s="92"/>
      <c r="H300" s="93"/>
    </row>
    <row r="301" ht="12.75" customHeight="1">
      <c r="A301" s="90"/>
      <c r="B301" s="50"/>
      <c r="C301" s="91"/>
      <c r="G301" s="92"/>
      <c r="H301" s="93"/>
    </row>
    <row r="302" ht="12.75" customHeight="1">
      <c r="A302" s="90"/>
      <c r="B302" s="50"/>
      <c r="C302" s="91"/>
      <c r="G302" s="92"/>
      <c r="H302" s="93"/>
    </row>
    <row r="303" ht="12.75" customHeight="1">
      <c r="A303" s="90"/>
      <c r="B303" s="50"/>
      <c r="C303" s="91"/>
      <c r="G303" s="92"/>
      <c r="H303" s="93"/>
    </row>
    <row r="304" ht="12.75" customHeight="1">
      <c r="A304" s="90"/>
      <c r="B304" s="50"/>
      <c r="C304" s="91"/>
      <c r="G304" s="92"/>
      <c r="H304" s="93"/>
    </row>
    <row r="305" ht="12.75" customHeight="1">
      <c r="A305" s="90"/>
      <c r="B305" s="50"/>
      <c r="C305" s="91"/>
      <c r="G305" s="92"/>
      <c r="H305" s="93"/>
    </row>
    <row r="306" ht="12.75" customHeight="1">
      <c r="A306" s="90"/>
      <c r="B306" s="50"/>
      <c r="C306" s="91"/>
      <c r="G306" s="92"/>
      <c r="H306" s="93"/>
    </row>
    <row r="307" ht="12.75" customHeight="1">
      <c r="A307" s="90"/>
      <c r="B307" s="50"/>
      <c r="C307" s="91"/>
      <c r="G307" s="92"/>
      <c r="H307" s="93"/>
    </row>
    <row r="308" ht="12.75" customHeight="1">
      <c r="A308" s="90"/>
      <c r="B308" s="50"/>
      <c r="C308" s="91"/>
      <c r="G308" s="92"/>
      <c r="H308" s="93"/>
    </row>
    <row r="309" ht="12.75" customHeight="1">
      <c r="A309" s="90"/>
      <c r="B309" s="50"/>
      <c r="C309" s="91"/>
      <c r="G309" s="92"/>
      <c r="H309" s="93"/>
    </row>
    <row r="310" ht="12.75" customHeight="1">
      <c r="A310" s="90"/>
      <c r="B310" s="50"/>
      <c r="C310" s="91"/>
      <c r="G310" s="92"/>
      <c r="H310" s="93"/>
    </row>
    <row r="311" ht="12.75" customHeight="1">
      <c r="A311" s="90"/>
      <c r="B311" s="50"/>
      <c r="C311" s="91"/>
      <c r="G311" s="92"/>
      <c r="H311" s="93"/>
    </row>
    <row r="312" ht="12.75" customHeight="1">
      <c r="A312" s="90"/>
      <c r="B312" s="50"/>
      <c r="C312" s="91"/>
      <c r="G312" s="92"/>
      <c r="H312" s="93"/>
    </row>
    <row r="313" ht="12.75" customHeight="1">
      <c r="A313" s="90"/>
      <c r="B313" s="50"/>
      <c r="C313" s="91"/>
      <c r="G313" s="92"/>
      <c r="H313" s="93"/>
    </row>
    <row r="314" ht="12.75" customHeight="1">
      <c r="A314" s="90"/>
      <c r="B314" s="50"/>
      <c r="C314" s="91"/>
      <c r="G314" s="92"/>
      <c r="H314" s="93"/>
    </row>
    <row r="315" ht="12.75" customHeight="1">
      <c r="A315" s="90"/>
      <c r="B315" s="50"/>
      <c r="C315" s="91"/>
      <c r="G315" s="92"/>
      <c r="H315" s="93"/>
    </row>
    <row r="316" ht="12.75" customHeight="1">
      <c r="A316" s="90"/>
      <c r="B316" s="50"/>
      <c r="C316" s="91"/>
      <c r="G316" s="92"/>
      <c r="H316" s="93"/>
    </row>
    <row r="317" ht="15.75" customHeight="1">
      <c r="A317" s="96"/>
      <c r="B317" s="50"/>
      <c r="G317" s="50"/>
    </row>
    <row r="318" ht="15.75" customHeight="1">
      <c r="A318" s="96"/>
      <c r="B318" s="50"/>
      <c r="G318" s="50"/>
    </row>
    <row r="319" ht="15.75" customHeight="1">
      <c r="A319" s="96"/>
      <c r="B319" s="50"/>
      <c r="G319" s="50"/>
    </row>
    <row r="320" ht="15.75" customHeight="1">
      <c r="A320" s="96"/>
      <c r="B320" s="50"/>
      <c r="G320" s="50"/>
    </row>
    <row r="321" ht="15.75" customHeight="1">
      <c r="A321" s="96"/>
      <c r="B321" s="50"/>
      <c r="G321" s="50"/>
    </row>
    <row r="322" ht="15.75" customHeight="1">
      <c r="A322" s="96"/>
      <c r="B322" s="50"/>
      <c r="G322" s="50"/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4:D4"/>
    <mergeCell ref="E4:F4"/>
    <mergeCell ref="G4:H4"/>
    <mergeCell ref="I4:J4"/>
    <mergeCell ref="K4:L4"/>
    <mergeCell ref="M4:N4"/>
    <mergeCell ref="O4:Q4"/>
    <mergeCell ref="A3:Q3"/>
  </mergeCells>
  <printOptions/>
  <pageMargins bottom="0.75" footer="0.0" header="0.0" left="0.25" right="0.25" top="0.75"/>
  <pageSetup fitToHeight="0" orientation="landscape"/>
  <drawing r:id="rId2"/>
  <legacyDrawing r:id="rId3"/>
</worksheet>
</file>